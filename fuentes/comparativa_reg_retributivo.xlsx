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tables/table3.xml" ContentType="application/vnd.openxmlformats-officedocument.spreadsheetml.table+xml"/>
  <Override PartName="/xl/worksheets/sheet3.xml" ContentType="application/vnd.openxmlformats-officedocument.spreadsheetml.worksheet+xml"/>
  <Override PartName="/xl/tables/table4.xml" ContentType="application/vnd.openxmlformats-officedocument.spreadsheetml.table+xml"/>
  <Override PartName="/xl/worksheets/sheet4.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Campos_mal" sheetId="2" state="visible" r:id="rId2"/>
    <sheet xmlns:r="http://schemas.openxmlformats.org/officeDocument/2006/relationships" name="Diferencia_Salarial" sheetId="3" state="visible" r:id="rId3"/>
    <sheet xmlns:r="http://schemas.openxmlformats.org/officeDocument/2006/relationships" name="Criterios" sheetId="4" state="visible" r:id="rId4"/>
  </sheets>
  <definedNames/>
  <calcPr calcId="124519" fullCalcOnLoad="1"/>
</workbook>
</file>

<file path=xl/styles.xml><?xml version="1.0" encoding="utf-8"?>
<styleSheet xmlns="http://schemas.openxmlformats.org/spreadsheetml/2006/main">
  <numFmts count="1">
    <numFmt numFmtId="164" formatCode="#,##0.00 €;[Red]-#,##0.00 €;0.00 €"/>
  </numFmts>
  <fonts count="9">
    <font>
      <name val="Calibri"/>
      <family val="2"/>
      <color theme="1"/>
      <sz val="11"/>
      <scheme val="minor"/>
    </font>
    <font>
      <b val="1"/>
      <color rgb="00FFFFFF"/>
      <sz val="18"/>
    </font>
    <font>
      <i val="1"/>
      <color rgb="00334155"/>
    </font>
    <font>
      <b val="1"/>
      <color rgb="000F172A"/>
      <sz val="13"/>
    </font>
    <font>
      <b val="1"/>
      <color rgb="00FFFFFF"/>
    </font>
    <font>
      <b val="1"/>
      <color rgb="00DC2626"/>
    </font>
    <font>
      <b val="1"/>
      <color rgb="00D97706"/>
    </font>
    <font>
      <b val="1"/>
      <color rgb="002563EB"/>
    </font>
    <font>
      <b val="1"/>
      <color rgb="000F172A"/>
    </font>
  </fonts>
  <fills count="8">
    <fill>
      <patternFill/>
    </fill>
    <fill>
      <patternFill patternType="gray125"/>
    </fill>
    <fill>
      <patternFill patternType="solid">
        <fgColor rgb="000F172A"/>
      </patternFill>
    </fill>
    <fill>
      <patternFill patternType="solid">
        <fgColor rgb="00DBEAFE"/>
      </patternFill>
    </fill>
    <fill>
      <patternFill patternType="solid">
        <fgColor rgb="000F766E"/>
      </patternFill>
    </fill>
    <fill>
      <patternFill patternType="solid">
        <fgColor rgb="00FEF3C7"/>
      </patternFill>
    </fill>
    <fill>
      <patternFill patternType="solid">
        <fgColor rgb="00DCFCE7"/>
      </patternFill>
    </fill>
    <fill>
      <patternFill patternType="solid">
        <fgColor rgb="00FEE2E2"/>
      </patternFill>
    </fill>
  </fills>
  <borders count="9">
    <border>
      <left/>
      <right/>
      <top/>
      <bottom/>
      <diagonal/>
    </border>
    <border>
      <left style="thin">
        <color rgb="00E2E8F0"/>
      </left>
      <right style="thin">
        <color rgb="00E2E8F0"/>
      </right>
      <top style="thin">
        <color rgb="00E2E8F0"/>
      </top>
      <bottom style="thin">
        <color rgb="00E2E8F0"/>
      </bottom>
    </border>
    <border>
      <left/>
      <right/>
      <top style="thin">
        <color rgb="00E2E8F0"/>
      </top>
      <bottom/>
      <diagonal/>
    </border>
    <border>
      <left style="thin">
        <color rgb="00E2E8F0"/>
      </left>
      <right/>
      <top/>
      <bottom/>
      <diagonal/>
    </border>
    <border>
      <left/>
      <right style="thin">
        <color rgb="00E2E8F0"/>
      </right>
      <top style="thin">
        <color rgb="00E2E8F0"/>
      </top>
      <bottom/>
      <diagonal/>
    </border>
    <border>
      <left/>
      <right style="thin">
        <color rgb="00E2E8F0"/>
      </right>
      <top/>
      <bottom/>
      <diagonal/>
    </border>
    <border>
      <left style="thin">
        <color rgb="00E2E8F0"/>
      </left>
      <right/>
      <top/>
      <bottom style="thin">
        <color rgb="00E2E8F0"/>
      </bottom>
      <diagonal/>
    </border>
    <border>
      <left/>
      <right/>
      <top/>
      <bottom style="thin">
        <color rgb="00E2E8F0"/>
      </bottom>
      <diagonal/>
    </border>
    <border>
      <left/>
      <right style="thin">
        <color rgb="00E2E8F0"/>
      </right>
      <top/>
      <bottom style="thin">
        <color rgb="00E2E8F0"/>
      </bottom>
      <diagonal/>
    </border>
  </borders>
  <cellStyleXfs count="1">
    <xf numFmtId="0" fontId="0" fillId="0" borderId="0"/>
  </cellStyleXfs>
  <cellXfs count="2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wrapText="1"/>
    </xf>
    <xf numFmtId="0" fontId="3" fillId="0" borderId="0" pivotButton="0" quotePrefix="0" xfId="0"/>
    <xf numFmtId="0" fontId="4" fillId="4" borderId="1" applyAlignment="1" pivotButton="0" quotePrefix="0" xfId="0">
      <alignment horizontal="center" vertical="center" wrapText="1"/>
    </xf>
    <xf numFmtId="0" fontId="4" fillId="6" borderId="1" applyAlignment="1" pivotButton="0" quotePrefix="0" xfId="0">
      <alignment vertical="top" wrapText="1"/>
    </xf>
    <xf numFmtId="0" fontId="0" fillId="0" borderId="2" pivotButton="0" quotePrefix="0" xfId="0"/>
    <xf numFmtId="0" fontId="0" fillId="0" borderId="4" pivotButton="0" quotePrefix="0" xfId="0"/>
    <xf numFmtId="0" fontId="0" fillId="0" borderId="1" applyAlignment="1" pivotButton="0" quotePrefix="0" xfId="0">
      <alignment vertical="top" wrapText="1"/>
    </xf>
    <xf numFmtId="4" fontId="0" fillId="0" borderId="1" applyAlignment="1" pivotButton="0" quotePrefix="0" xfId="0">
      <alignment vertical="top" wrapText="1"/>
    </xf>
    <xf numFmtId="0" fontId="0" fillId="0" borderId="3" pivotButton="0" quotePrefix="0" xfId="0"/>
    <xf numFmtId="0" fontId="0" fillId="0" borderId="5" pivotButton="0" quotePrefix="0" xfId="0"/>
    <xf numFmtId="0" fontId="0" fillId="5" borderId="1" applyAlignment="1" pivotButton="0" quotePrefix="0" xfId="0">
      <alignment vertical="top" wrapText="1"/>
    </xf>
    <xf numFmtId="4" fontId="0" fillId="5" borderId="1" applyAlignment="1" pivotButton="0" quotePrefix="0" xfId="0">
      <alignment vertical="top" wrapText="1"/>
    </xf>
    <xf numFmtId="0" fontId="0" fillId="0" borderId="6" pivotButton="0" quotePrefix="0" xfId="0"/>
    <xf numFmtId="0" fontId="0" fillId="0" borderId="7" pivotButton="0" quotePrefix="0" xfId="0"/>
    <xf numFmtId="0" fontId="0" fillId="0" borderId="8" pivotButton="0" quotePrefix="0" xfId="0"/>
    <xf numFmtId="0" fontId="4" fillId="2" borderId="1" applyAlignment="1" pivotButton="0" quotePrefix="0" xfId="0">
      <alignment horizontal="center" vertical="center" wrapText="1"/>
    </xf>
    <xf numFmtId="0" fontId="5" fillId="7" borderId="1" applyAlignment="1" pivotButton="0" quotePrefix="0" xfId="0">
      <alignment vertical="top" wrapText="1"/>
    </xf>
    <xf numFmtId="164" fontId="0" fillId="6" borderId="1" applyAlignment="1" pivotButton="0" quotePrefix="0" xfId="0">
      <alignment vertical="top" wrapText="1"/>
    </xf>
    <xf numFmtId="164" fontId="0" fillId="7" borderId="1" applyAlignment="1" pivotButton="0" quotePrefix="0" xfId="0">
      <alignment vertical="top" wrapText="1"/>
    </xf>
    <xf numFmtId="164" fontId="0" fillId="0" borderId="1" applyAlignment="1" pivotButton="0" quotePrefix="0" xfId="0">
      <alignment vertical="top" wrapText="1"/>
    </xf>
    <xf numFmtId="0" fontId="6" fillId="5" borderId="1" applyAlignment="1" pivotButton="0" quotePrefix="0" xfId="0">
      <alignment vertical="top" wrapText="1"/>
    </xf>
    <xf numFmtId="0" fontId="7" fillId="3" borderId="1" applyAlignment="1" pivotButton="0" quotePrefix="0" xfId="0">
      <alignment vertical="top" wrapText="1"/>
    </xf>
    <xf numFmtId="0" fontId="8" fillId="0" borderId="1" applyAlignment="1" pivotButton="0" quotePrefix="0" xfId="0">
      <alignment vertical="top" wrapText="1"/>
    </xf>
  </cellXfs>
  <cellStyles count="1">
    <cellStyle name="Normal" xfId="0" builtinId="0" hidden="0"/>
  </cellStyles>
  <dxfs count="2">
    <dxf>
      <font>
        <color rgb="00BE123C"/>
      </font>
      <fill>
        <patternFill patternType="solid">
          <fgColor rgb="00FFE4E6"/>
        </patternFill>
      </fill>
    </dxf>
    <dxf>
      <font>
        <color rgb="00166534"/>
      </font>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ResumenKPI" displayName="ResumenKPI" ref="A6:C14" headerRowCount="1">
  <autoFilter ref="A6:C14"/>
  <tableColumns count="3">
    <tableColumn id="1" name="Métrica"/>
    <tableColumn id="2" name="Valor"/>
    <tableColumn id="3" name="Lectura"/>
  </tableColumns>
  <tableStyleInfo name="TableStyleMedium4" showFirstColumn="0" showLastColumn="0" showRowStripes="1" showColumnStripes="0"/>
</table>
</file>

<file path=xl/tables/table2.xml><?xml version="1.0" encoding="utf-8"?>
<table xmlns="http://schemas.openxmlformats.org/spreadsheetml/2006/main" id="2" name="EstadoPersonas" displayName="EstadoPersonas" ref="E6:F9" headerRowCount="1">
  <autoFilter ref="E6:F9"/>
  <tableColumns count="2">
    <tableColumn id="5" name="Estado"/>
    <tableColumn id="6" name="Personas"/>
  </tableColumns>
  <tableStyleInfo name="TableStyleMedium4" showFirstColumn="0" showLastColumn="0" showRowStripes="1" showColumnStripes="0"/>
</table>
</file>

<file path=xl/tables/table3.xml><?xml version="1.0" encoding="utf-8"?>
<table xmlns="http://schemas.openxmlformats.org/spreadsheetml/2006/main" id="3" name="CamposMal" displayName="CamposMal" ref="A1:N12" headerRowCount="1">
  <autoFilter ref="A1:N12"/>
  <tableColumns count="14">
    <tableColumn id="1" name="Prioridad"/>
    <tableColumn id="2" name="NIF"/>
    <tableColumn id="3" name="Matrícula"/>
    <tableColumn id="4" name="Trabajador"/>
    <tableColumn id="5" name="Campo"/>
    <tableColumn id="6" name="Debería estar (dato)"/>
    <tableColumn id="7" name="Como está (dato)"/>
    <tableColumn id="8" name="Salario debería (€)"/>
    <tableColumn id="9" name="Salario está (€)"/>
    <tableColumn id="10" name="Diferencia salarial (€)"/>
    <tableColumn id="11" name="Nº registros afectados"/>
    <tableColumn id="12" name="Archivos / periodos afectados"/>
    <tableColumn id="13" name="Observaciones"/>
    <tableColumn id="14" name="Acción recomendada"/>
  </tableColumns>
  <tableStyleInfo name="TableStyleMedium2" showFirstColumn="0" showLastColumn="0" showRowStripes="1" showColumnStripes="0"/>
</table>
</file>

<file path=xl/tables/table4.xml><?xml version="1.0" encoding="utf-8"?>
<table xmlns="http://schemas.openxmlformats.org/spreadsheetml/2006/main" id="4" name="DiferenciaSalarial" displayName="DiferenciaSalarial" ref="A1:M80" headerRowCount="1">
  <autoFilter ref="A1:M80"/>
  <tableColumns count="13">
    <tableColumn id="1" name="Estado"/>
    <tableColumn id="2" name="NIF"/>
    <tableColumn id="3" name="Matrícula"/>
    <tableColumn id="4" name="Trabajador"/>
    <tableColumn id="5" name="Salario Registro (€)"/>
    <tableColumn id="6" name="Compl. Salariales Registro (€)"/>
    <tableColumn id="7" name="Extrasalarial Registro (€)"/>
    <tableColumn id="8" name="Total debería (Registro €)"/>
    <tableColumn id="9" name="Total está (nóminas €)"/>
    <tableColumn id="10" name="Diferencia (€)"/>
    <tableColumn id="11" name="Nº nóminas/PDF"/>
    <tableColumn id="12" name="Observaciones"/>
    <tableColumn id="13" name="Fuentes / periodos"/>
  </tableColumns>
  <tableStyleInfo name="TableStyleMedium2" showFirstColumn="0" showLastColumn="0" showRowStripes="1" showColumnStripes="0"/>
</table>
</file>

<file path=xl/tables/table5.xml><?xml version="1.0" encoding="utf-8"?>
<table xmlns="http://schemas.openxmlformats.org/spreadsheetml/2006/main" id="5" name="CriteriosTabla" displayName="CriteriosTabla" ref="A3:B10" headerRowCount="1">
  <autoFilter ref="A3:B10"/>
  <tableColumns count="2">
    <tableColumn id="1" name="Tema"/>
    <tableColumn id="2" name="Detalle"/>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s>
</file>

<file path=xl/worksheets/_rels/sheet2.xml.rels><Relationships xmlns="http://schemas.openxmlformats.org/package/2006/relationships"><Relationship Type="http://schemas.openxmlformats.org/officeDocument/2006/relationships/table" Target="/xl/tables/table3.xml" Id="rId1"/></Relationships>
</file>

<file path=xl/worksheets/_rels/sheet3.xml.rels><Relationships xmlns="http://schemas.openxmlformats.org/package/2006/relationships"><Relationship Type="http://schemas.openxmlformats.org/officeDocument/2006/relationships/table" Target="/xl/tables/table4.xml" Id="rId1"/></Relationships>
</file>

<file path=xl/worksheets/_rels/sheet4.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outlinePr summaryBelow="1" summaryRight="1"/>
    <pageSetUpPr fitToPage="1"/>
  </sheetPr>
  <dimension ref="A1:K14"/>
  <sheetViews>
    <sheetView showGridLines="0" workbookViewId="0">
      <selection activeCell="A1" sqref="A1"/>
    </sheetView>
  </sheetViews>
  <sheetFormatPr baseColWidth="8" defaultRowHeight="15"/>
  <cols>
    <col width="30" customWidth="1" min="1" max="1"/>
    <col width="18" customWidth="1" min="2" max="2"/>
    <col width="60" customWidth="1" min="3" max="3"/>
    <col width="28" customWidth="1" min="5" max="5"/>
    <col width="14" customWidth="1" min="6" max="6"/>
    <col width="18" customWidth="1" min="8" max="8"/>
    <col width="18" customWidth="1" min="9" max="9"/>
    <col width="18" customWidth="1" min="10" max="10"/>
    <col width="18" customWidth="1" min="11" max="11"/>
  </cols>
  <sheetData>
    <row r="1" ht="34" customHeight="1">
      <c r="A1" s="1" t="inlineStr">
        <is>
          <t>Comparativa nóminas vs Registro Retributivo</t>
        </is>
      </c>
    </row>
    <row r="2" ht="28" customHeight="1">
      <c r="A2" s="2" t="inlineStr">
        <is>
          <t>Se añade la diferencia salarial: Total debería según Registro vs Total está según nóminas/PDF aportados.</t>
        </is>
      </c>
    </row>
    <row r="4">
      <c r="A4" s="3" t="inlineStr">
        <is>
          <t>Resumen</t>
        </is>
      </c>
      <c r="E4" s="3" t="inlineStr">
        <is>
          <t>Personas por estado</t>
        </is>
      </c>
      <c r="H4" s="3" t="inlineStr">
        <is>
          <t>Nota de lectura</t>
        </is>
      </c>
    </row>
    <row r="6" ht="34" customHeight="1">
      <c r="A6" s="4" t="inlineStr">
        <is>
          <t>Métrica</t>
        </is>
      </c>
      <c r="B6" s="4" t="inlineStr">
        <is>
          <t>Valor</t>
        </is>
      </c>
      <c r="C6" s="4" t="inlineStr">
        <is>
          <t>Lectura</t>
        </is>
      </c>
      <c r="D6" s="4" t="n"/>
      <c r="E6" s="4" t="inlineStr">
        <is>
          <t>Estado</t>
        </is>
      </c>
      <c r="F6" s="4" t="inlineStr">
        <is>
          <t>Personas</t>
        </is>
      </c>
      <c r="G6" s="4" t="n"/>
      <c r="H6" s="5" t="inlineStr">
        <is>
          <t>La diferencia salarial compara el total del Registro Retributivo con el total devengado real de las nóminas/PDF aportados. Como el Registro usa importes normalizados + variables, la diferencia no siempre implica error de nómina; sirve para detectar desviaciones y revisar casos.</t>
        </is>
      </c>
      <c r="I6" s="6" t="n"/>
      <c r="J6" s="6" t="n"/>
      <c r="K6" s="7" t="n"/>
    </row>
    <row r="7">
      <c r="A7" s="8" t="inlineStr">
        <is>
          <t>Nóminas/PDF revisadas</t>
        </is>
      </c>
      <c r="B7" s="9" t="n">
        <v>953</v>
      </c>
      <c r="C7" s="8" t="inlineStr">
        <is>
          <t>Páginas con persona detectada</t>
        </is>
      </c>
      <c r="E7" s="8" t="inlineStr">
        <is>
          <t>Revisar dato maestro</t>
        </is>
      </c>
      <c r="F7" s="8" t="n">
        <v>1</v>
      </c>
      <c r="H7" s="10" t="n"/>
      <c r="K7" s="11" t="n"/>
    </row>
    <row r="8">
      <c r="A8" s="8" t="inlineStr">
        <is>
          <t>Personas en nóminas</t>
        </is>
      </c>
      <c r="B8" s="9" t="n">
        <v>79</v>
      </c>
      <c r="C8" s="8" t="inlineStr">
        <is>
          <t>Matrículas únicas en PDF</t>
        </is>
      </c>
      <c r="E8" s="8" t="inlineStr">
        <is>
          <t>Falta en Registro</t>
        </is>
      </c>
      <c r="F8" s="8" t="n">
        <v>9</v>
      </c>
      <c r="H8" s="10" t="n"/>
      <c r="K8" s="11" t="n"/>
    </row>
    <row r="9">
      <c r="A9" s="8" t="inlineStr">
        <is>
          <t>Personas en Registro</t>
        </is>
      </c>
      <c r="B9" s="9" t="n">
        <v>70</v>
      </c>
      <c r="C9" s="8" t="inlineStr">
        <is>
          <t>Hoja Empleados</t>
        </is>
      </c>
      <c r="E9" s="8" t="inlineStr">
        <is>
          <t>Comparado</t>
        </is>
      </c>
      <c r="F9" s="8" t="n">
        <v>69</v>
      </c>
      <c r="H9" s="10" t="n"/>
      <c r="K9" s="11" t="n"/>
    </row>
    <row r="10">
      <c r="A10" s="8" t="inlineStr">
        <is>
          <t>Personas con campos mal</t>
        </is>
      </c>
      <c r="B10" s="9" t="n">
        <v>10</v>
      </c>
      <c r="C10" s="8" t="inlineStr">
        <is>
          <t>Hoja Campos_mal</t>
        </is>
      </c>
      <c r="H10" s="10" t="n"/>
      <c r="K10" s="11" t="n"/>
    </row>
    <row r="11">
      <c r="A11" s="8" t="inlineStr">
        <is>
          <t>Filas Campos_mal</t>
        </is>
      </c>
      <c r="B11" s="9" t="n">
        <v>11</v>
      </c>
      <c r="C11" s="8" t="inlineStr">
        <is>
          <t>Agrupadas por persona/campo</t>
        </is>
      </c>
      <c r="H11" s="10" t="n"/>
      <c r="K11" s="11" t="n"/>
    </row>
    <row r="12">
      <c r="A12" s="12" t="inlineStr">
        <is>
          <t>Total debería Registro</t>
        </is>
      </c>
      <c r="B12" s="13" t="n">
        <v>3796366.88</v>
      </c>
      <c r="C12" s="12" t="inlineStr">
        <is>
          <t>Suma de Salario + C. Salarial + Extrasalarial del Registro</t>
        </is>
      </c>
      <c r="H12" s="10" t="n"/>
      <c r="K12" s="11" t="n"/>
    </row>
    <row r="13">
      <c r="A13" s="12" t="inlineStr">
        <is>
          <t>Total está nóminas</t>
        </is>
      </c>
      <c r="B13" s="13" t="n">
        <v>3555404.01</v>
      </c>
      <c r="C13" s="12" t="inlineStr">
        <is>
          <t>Suma Total Devengado de todos los PDF</t>
        </is>
      </c>
      <c r="H13" s="10" t="n"/>
      <c r="K13" s="11" t="n"/>
    </row>
    <row r="14">
      <c r="A14" s="12" t="inlineStr">
        <is>
          <t>Diferencia total</t>
        </is>
      </c>
      <c r="B14" s="13" t="n">
        <v>-240962.87</v>
      </c>
      <c r="C14" s="12" t="inlineStr">
        <is>
          <t>Está - Debería</t>
        </is>
      </c>
      <c r="H14" s="14" t="n"/>
      <c r="I14" s="15" t="n"/>
      <c r="J14" s="15" t="n"/>
      <c r="K14" s="16" t="n"/>
    </row>
  </sheetData>
  <mergeCells count="3">
    <mergeCell ref="A2:K2"/>
    <mergeCell ref="A1:K1"/>
    <mergeCell ref="H6:K14"/>
  </mergeCells>
  <pageMargins left="0.25" right="0.25" top="0.5" bottom="0.5" header="0.5" footer="0.5"/>
  <pageSetup fitToHeight="0" fitToWidth="1"/>
  <tableParts count="2">
    <tablePart xmlns:r="http://schemas.openxmlformats.org/officeDocument/2006/relationships" r:id="rId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fitToPage="1"/>
  </sheetPr>
  <dimension ref="A1:N12"/>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30" customWidth="1" min="4" max="4"/>
    <col width="28" customWidth="1" min="5" max="5"/>
    <col width="40" customWidth="1" min="6" max="6"/>
    <col width="34" customWidth="1" min="7" max="7"/>
    <col width="18" customWidth="1" min="8" max="8"/>
    <col width="18" customWidth="1" min="9" max="9"/>
    <col width="20" customWidth="1" min="10" max="10"/>
    <col width="14" customWidth="1" min="11" max="11"/>
    <col width="60" customWidth="1" min="12" max="12"/>
    <col width="60" customWidth="1" min="13" max="13"/>
    <col width="56" customWidth="1" min="14" max="14"/>
  </cols>
  <sheetData>
    <row r="1" ht="34" customHeight="1">
      <c r="A1" s="17" t="inlineStr">
        <is>
          <t>Prioridad</t>
        </is>
      </c>
      <c r="B1" s="17" t="inlineStr">
        <is>
          <t>NIF</t>
        </is>
      </c>
      <c r="C1" s="17" t="inlineStr">
        <is>
          <t>Matrícula</t>
        </is>
      </c>
      <c r="D1" s="17" t="inlineStr">
        <is>
          <t>Trabajador</t>
        </is>
      </c>
      <c r="E1" s="17" t="inlineStr">
        <is>
          <t>Campo</t>
        </is>
      </c>
      <c r="F1" s="17" t="inlineStr">
        <is>
          <t>Debería estar (dato)</t>
        </is>
      </c>
      <c r="G1" s="17" t="inlineStr">
        <is>
          <t>Como está (dato)</t>
        </is>
      </c>
      <c r="H1" s="17" t="inlineStr">
        <is>
          <t>Salario debería (€)</t>
        </is>
      </c>
      <c r="I1" s="17" t="inlineStr">
        <is>
          <t>Salario está (€)</t>
        </is>
      </c>
      <c r="J1" s="17" t="inlineStr">
        <is>
          <t>Diferencia salarial (€)</t>
        </is>
      </c>
      <c r="K1" s="17" t="inlineStr">
        <is>
          <t>Nº registros afectados</t>
        </is>
      </c>
      <c r="L1" s="17" t="inlineStr">
        <is>
          <t>Archivos / periodos afectados</t>
        </is>
      </c>
      <c r="M1" s="17" t="inlineStr">
        <is>
          <t>Observaciones</t>
        </is>
      </c>
      <c r="N1" s="17" t="inlineStr">
        <is>
          <t>Acción recomendada</t>
        </is>
      </c>
    </row>
    <row r="2" ht="78" customHeight="1">
      <c r="A2" s="18" t="inlineStr">
        <is>
          <t>Alta</t>
        </is>
      </c>
      <c r="B2" s="8" t="inlineStr">
        <is>
          <t>44866062P</t>
        </is>
      </c>
      <c r="C2" s="8" t="inlineStr">
        <is>
          <t>10461</t>
        </is>
      </c>
      <c r="D2" s="8" t="inlineStr">
        <is>
          <t>JOSEFA IVARS ESCUDERO</t>
        </is>
      </c>
      <c r="E2" s="8" t="inlineStr">
        <is>
          <t>GT / Grupo de cotización</t>
        </is>
      </c>
      <c r="F2" s="8" t="inlineStr">
        <is>
          <t>5 - Oficiales Administrativos</t>
        </is>
      </c>
      <c r="G2" s="8" t="inlineStr">
        <is>
          <t>7</t>
        </is>
      </c>
      <c r="H2" s="19" t="n">
        <v>30959.83</v>
      </c>
      <c r="I2" s="20" t="n">
        <v>28859.32</v>
      </c>
      <c r="J2" s="21">
        <f>IF(OR(H2="",I2=""),"",I2-H2)</f>
        <v/>
      </c>
      <c r="K2" s="8" t="n">
        <v>1</v>
      </c>
      <c r="L2" s="8" t="inlineStr">
        <is>
          <t>PDF_JULIO_23_06.pdf p.3 (Del 1 al 31 Julio 2025)</t>
        </is>
      </c>
      <c r="M2" s="8" t="inlineStr">
        <is>
          <t>El grupo de cotización de la nómina no coincide con el Registro para esa fecha.</t>
        </is>
      </c>
      <c r="N2" s="8" t="inlineStr">
        <is>
          <t>Corregir GT o revisar si hay una nómina emitida con datos antiguos.</t>
        </is>
      </c>
    </row>
    <row r="3" ht="78" customHeight="1">
      <c r="A3" s="18" t="inlineStr">
        <is>
          <t>Alta</t>
        </is>
      </c>
      <c r="B3" s="8" t="inlineStr">
        <is>
          <t>44866062P</t>
        </is>
      </c>
      <c r="C3" s="8" t="inlineStr">
        <is>
          <t>10461</t>
        </is>
      </c>
      <c r="D3" s="8" t="inlineStr">
        <is>
          <t>JOSEFA IVARS ESCUDERO</t>
        </is>
      </c>
      <c r="E3" s="8" t="inlineStr">
        <is>
          <t>Grupo profesional / categoría</t>
        </is>
      </c>
      <c r="F3" s="8" t="inlineStr">
        <is>
          <t>Nivel VI - Oficial de Segunda</t>
        </is>
      </c>
      <c r="G3" s="8" t="inlineStr">
        <is>
          <t>Nivel VII - Auxiliar Administrativo</t>
        </is>
      </c>
      <c r="H3" s="19" t="n">
        <v>30959.83</v>
      </c>
      <c r="I3" s="20" t="n">
        <v>28859.32</v>
      </c>
      <c r="J3" s="21">
        <f>IF(OR(H3="",I3=""),"",I3-H3)</f>
        <v/>
      </c>
      <c r="K3" s="8" t="n">
        <v>1</v>
      </c>
      <c r="L3" s="8" t="inlineStr">
        <is>
          <t>PDF_JULIO_23_06.pdf p.3 (Del 1 al 31 Julio 2025)</t>
        </is>
      </c>
      <c r="M3" s="8" t="inlineStr">
        <is>
          <t>La categoría de la nómina no coincide con la categoría vigente indicada en el Registro para esa fecha. Para el mismo período existe otra nómina con el dato correcto, por lo que podría ser una versión antigua o rectificativa.</t>
        </is>
      </c>
      <c r="N3" s="8" t="inlineStr">
        <is>
          <t>Usar la categoría del Registro o validar si el PDF corresponde a una versión anterior/rectificada.</t>
        </is>
      </c>
    </row>
    <row r="4" ht="78" customHeight="1">
      <c r="A4" s="18" t="inlineStr">
        <is>
          <t>Alta</t>
        </is>
      </c>
      <c r="B4" s="8" t="inlineStr">
        <is>
          <t>51557369V</t>
        </is>
      </c>
      <c r="C4" s="8" t="inlineStr">
        <is>
          <t>BC6</t>
        </is>
      </c>
      <c r="D4" s="8" t="inlineStr">
        <is>
          <t>JAIME MELERO CRUZ</t>
        </is>
      </c>
      <c r="E4" s="8" t="inlineStr">
        <is>
          <t>Persona / matrícula en Registro</t>
        </is>
      </c>
      <c r="F4" s="8" t="inlineStr">
        <is>
          <t>Matrícula BC6 incluida en hoja Empleados del Registro, si entra en alcance</t>
        </is>
      </c>
      <c r="G4" s="8" t="inlineStr">
        <is>
          <t>No existe en el Registro Retributivo aportado</t>
        </is>
      </c>
      <c r="H4" s="19" t="n"/>
      <c r="I4" s="20" t="n">
        <v>4318.31</v>
      </c>
      <c r="J4" s="21">
        <f>IF(OR(H4="",I4=""),"",I4-H4)</f>
        <v/>
      </c>
      <c r="K4" s="8" t="n">
        <v>6</v>
      </c>
      <c r="L4" s="8" t="inlineStr">
        <is>
          <t>PDF_AGOSTO.pdf p.70 (Del 1 al 31 Agosto 2025); PDF_DICIEMBRE.pdf p.74 (Del 1 al 31 Diciembre 2025); PDF_JULIO.pdf p.71 (Del 1 al 31 Julio 2025); PDF_NOVIEMBRE.pdf p.70 (Del 1 al 30 Noviembre 2025); PDF_OCTUBRE.pdf p.69 (Del 1 al 31 Octubre 2025); PDF_SEPTIEMBRE.pdf p.69 (Del 1 al 30 Septiembre 2025)</t>
        </is>
      </c>
      <c r="M4" s="8" t="inlineStr">
        <is>
          <t>Aparece en nómina, pero no aparece en la hoja Empleados del Registro. Puede ser baja, exclusión del alcance, registro desactualizado o matrícula/ID RH distinto.</t>
        </is>
      </c>
      <c r="N4" s="8" t="inlineStr">
        <is>
          <t>Confirmar si la persona debe entrar en el Registro 2025. Si entra, añadirla/corregir el ID RH; si no entra, documentar exclusión.</t>
        </is>
      </c>
    </row>
    <row r="5" ht="78" customHeight="1">
      <c r="A5" s="18" t="inlineStr">
        <is>
          <t>Alta</t>
        </is>
      </c>
      <c r="B5" s="8" t="inlineStr">
        <is>
          <t>02767188N</t>
        </is>
      </c>
      <c r="C5" s="8" t="inlineStr">
        <is>
          <t>10474</t>
        </is>
      </c>
      <c r="D5" s="8" t="inlineStr">
        <is>
          <t>KODDY ANDERSON MUÑOZ SALAZAR</t>
        </is>
      </c>
      <c r="E5" s="8" t="inlineStr">
        <is>
          <t>Persona / matrícula en Registro</t>
        </is>
      </c>
      <c r="F5" s="8" t="inlineStr">
        <is>
          <t>Matrícula 10474 incluida en hoja Empleados del Registro, si entra en alcance</t>
        </is>
      </c>
      <c r="G5" s="8" t="inlineStr">
        <is>
          <t>No existe en el Registro Retributivo aportado</t>
        </is>
      </c>
      <c r="H5" s="19" t="n"/>
      <c r="I5" s="20" t="n">
        <v>768.6</v>
      </c>
      <c r="J5" s="21">
        <f>IF(OR(H5="",I5=""),"",I5-H5)</f>
        <v/>
      </c>
      <c r="K5" s="8" t="n">
        <v>1</v>
      </c>
      <c r="L5" s="8" t="inlineStr">
        <is>
          <t>PDF_ENERO.pdf p.68 (Del 1 al 31 Enero 2025)</t>
        </is>
      </c>
      <c r="M5" s="8" t="inlineStr">
        <is>
          <t>Aparece en nómina, pero no aparece en la hoja Empleados del Registro. Puede ser baja, exclusión del alcance, registro desactualizado o matrícula/ID RH distinto.</t>
        </is>
      </c>
      <c r="N5" s="8" t="inlineStr">
        <is>
          <t>Confirmar si la persona debe entrar en el Registro 2025. Si entra, añadirla/corregir el ID RH; si no entra, documentar exclusión.</t>
        </is>
      </c>
    </row>
    <row r="6" ht="78" customHeight="1">
      <c r="A6" s="18" t="inlineStr">
        <is>
          <t>Alta</t>
        </is>
      </c>
      <c r="B6" s="8" t="inlineStr">
        <is>
          <t>49573610P</t>
        </is>
      </c>
      <c r="C6" s="8" t="inlineStr">
        <is>
          <t>10475</t>
        </is>
      </c>
      <c r="D6" s="8" t="inlineStr">
        <is>
          <t>LUCÍA GÓMEZ GONZÁLEZ</t>
        </is>
      </c>
      <c r="E6" s="8" t="inlineStr">
        <is>
          <t>Persona / matrícula en Registro</t>
        </is>
      </c>
      <c r="F6" s="8" t="inlineStr">
        <is>
          <t>Matrícula 10475 incluida en hoja Empleados del Registro, si entra en alcance</t>
        </is>
      </c>
      <c r="G6" s="8" t="inlineStr">
        <is>
          <t>No existe en el Registro Retributivo aportado</t>
        </is>
      </c>
      <c r="H6" s="19" t="n"/>
      <c r="I6" s="20" t="n">
        <v>6614.47</v>
      </c>
      <c r="J6" s="21">
        <f>IF(OR(H6="",I6=""),"",I6-H6)</f>
        <v/>
      </c>
      <c r="K6" s="8" t="n">
        <v>5</v>
      </c>
      <c r="L6" s="8" t="inlineStr">
        <is>
          <t>PDF_ABRIL.pdf p.68 (Del 1 al 30 Abril 2025); PDF_ENERO.pdf p.69 (Del 1 al 31 Enero 2025); PDF_FEBRERO.pdf p.68 (Del 1 al 28 Febrero 2025); PDF_MARZO.pdf p.68 (Del 1 al 31 Marzo 2025); PDF_MARZO_22_03.pdf p.27 (Del 1 al 31 Marzo 2025)</t>
        </is>
      </c>
      <c r="M6" s="8" t="inlineStr">
        <is>
          <t>Aparece en nómina, pero no aparece en la hoja Empleados del Registro. Puede ser baja, exclusión del alcance, registro desactualizado o matrícula/ID RH distinto.</t>
        </is>
      </c>
      <c r="N6" s="8" t="inlineStr">
        <is>
          <t>Confirmar si la persona debe entrar en el Registro 2025. Si entra, añadirla/corregir el ID RH; si no entra, documentar exclusión.</t>
        </is>
      </c>
    </row>
    <row r="7" ht="78" customHeight="1">
      <c r="A7" s="18" t="inlineStr">
        <is>
          <t>Alta</t>
        </is>
      </c>
      <c r="B7" s="8" t="inlineStr">
        <is>
          <t>27282317Q</t>
        </is>
      </c>
      <c r="C7" s="8" t="inlineStr">
        <is>
          <t>10076</t>
        </is>
      </c>
      <c r="D7" s="8" t="inlineStr">
        <is>
          <t>MANUEL SALAS FERNANDEZ</t>
        </is>
      </c>
      <c r="E7" s="8" t="inlineStr">
        <is>
          <t>Persona / matrícula en Registro</t>
        </is>
      </c>
      <c r="F7" s="8" t="inlineStr">
        <is>
          <t>Matrícula 10076 incluida en hoja Empleados del Registro, si entra en alcance</t>
        </is>
      </c>
      <c r="G7" s="8" t="inlineStr">
        <is>
          <t>No existe en el Registro Retributivo aportado</t>
        </is>
      </c>
      <c r="H7" s="19" t="n"/>
      <c r="I7" s="20" t="n">
        <v>41808.1</v>
      </c>
      <c r="J7" s="21">
        <f>IF(OR(H7="",I7=""),"",I7-H7)</f>
        <v/>
      </c>
      <c r="K7" s="8" t="n">
        <v>13</v>
      </c>
      <c r="L7" s="8" t="inlineStr">
        <is>
          <t>PDF_ABRIL.pdf p.6 (Del 1 al 30 Abril 2025); PDF_AGOSTO.pdf p.5 (Del 1 al 31 Agosto 2025); PDF_DICIEMBRE.pdf p.5 (Del 1 al 31 Diciembre 2025); PDF_ENERO.pdf p.6 (Del 1 al 31 Enero 2025); PDF_FEBRERO.pdf p.6 (Del 1 al 28 Febrero 2025); PDF_FEBRERO_VARIABLE.pdf p.3 (Del 1 al 28 Febrero 2025); PDF_JULIO.pdf p.5 (Del 1 al 31 Julio 2025); PDF_JUNIO.pdf p.5 (Del 1 al 30 Junio 2025); ... (+5 más)</t>
        </is>
      </c>
      <c r="M7" s="8" t="inlineStr">
        <is>
          <t>Aparece en nómina, pero no aparece en la hoja Empleados del Registro. Puede ser baja, exclusión del alcance, registro desactualizado o matrícula/ID RH distinto.</t>
        </is>
      </c>
      <c r="N7" s="8" t="inlineStr">
        <is>
          <t>Confirmar si la persona debe entrar en el Registro 2025. Si entra, añadirla/corregir el ID RH; si no entra, documentar exclusión.</t>
        </is>
      </c>
    </row>
    <row r="8" ht="78" customHeight="1">
      <c r="A8" s="18" t="inlineStr">
        <is>
          <t>Alta</t>
        </is>
      </c>
      <c r="B8" s="8" t="inlineStr">
        <is>
          <t>43400385Y</t>
        </is>
      </c>
      <c r="C8" s="8" t="inlineStr">
        <is>
          <t>10189</t>
        </is>
      </c>
      <c r="D8" s="8" t="inlineStr">
        <is>
          <t>MARIA ROSA PEREZ TORCAL</t>
        </is>
      </c>
      <c r="E8" s="8" t="inlineStr">
        <is>
          <t>Persona / matrícula en Registro</t>
        </is>
      </c>
      <c r="F8" s="8" t="inlineStr">
        <is>
          <t>Matrícula 10189 incluida en hoja Empleados del Registro, si entra en alcance</t>
        </is>
      </c>
      <c r="G8" s="8" t="inlineStr">
        <is>
          <t>No existe en el Registro Retributivo aportado</t>
        </is>
      </c>
      <c r="H8" s="19" t="n"/>
      <c r="I8" s="20" t="n">
        <v>49061.8</v>
      </c>
      <c r="J8" s="21">
        <f>IF(OR(H8="",I8=""),"",I8-H8)</f>
        <v/>
      </c>
      <c r="K8" s="8" t="n">
        <v>9</v>
      </c>
      <c r="L8" s="8" t="inlineStr">
        <is>
          <t>PDF_ABRIL.pdf p.16 (Del 1 al 30 Abril 2025); PDF_AGOSTO.pdf p.15 (Del 1 al 31 Agosto 2025); PDF_ENERO.pdf p.16 (Del 1 al 31 Enero 2025); PDF_FEBRERO.pdf p.16 (Del 1 al 28 Febrero 2025); PDF_FEBRERO_VARIABLE.pdf p.8 (Del 1 al 28 Febrero 2025); PDF_JULIO.pdf p.15 (Del 1 al 31 Julio 2025); PDF_JUNIO.pdf p.15 (Del 1 al 30 Junio 2025); PDF_MARZO.pdf p.16 (Del 1 al 31 Marzo 2025); ... (+1 más)</t>
        </is>
      </c>
      <c r="M8" s="8" t="inlineStr">
        <is>
          <t>Aparece en nómina, pero no aparece en la hoja Empleados del Registro. Puede ser baja, exclusión del alcance, registro desactualizado o matrícula/ID RH distinto.</t>
        </is>
      </c>
      <c r="N8" s="8" t="inlineStr">
        <is>
          <t>Confirmar si la persona debe entrar en el Registro 2025. Si entra, añadirla/corregir el ID RH; si no entra, documentar exclusión.</t>
        </is>
      </c>
    </row>
    <row r="9" ht="78" customHeight="1">
      <c r="A9" s="18" t="inlineStr">
        <is>
          <t>Alta</t>
        </is>
      </c>
      <c r="B9" s="8" t="inlineStr">
        <is>
          <t>22539357R</t>
        </is>
      </c>
      <c r="C9" s="8" t="inlineStr">
        <is>
          <t>10476</t>
        </is>
      </c>
      <c r="D9" s="8" t="inlineStr">
        <is>
          <t>MARÍA JOSE PÉREZ GRANADO</t>
        </is>
      </c>
      <c r="E9" s="8" t="inlineStr">
        <is>
          <t>Persona / matrícula en Registro</t>
        </is>
      </c>
      <c r="F9" s="8" t="inlineStr">
        <is>
          <t>Matrícula 10476 incluida en hoja Empleados del Registro, si entra en alcance</t>
        </is>
      </c>
      <c r="G9" s="8" t="inlineStr">
        <is>
          <t>No existe en el Registro Retributivo aportado</t>
        </is>
      </c>
      <c r="H9" s="19" t="n"/>
      <c r="I9" s="20" t="n">
        <v>23185.27</v>
      </c>
      <c r="J9" s="21">
        <f>IF(OR(H9="",I9=""),"",I9-H9)</f>
        <v/>
      </c>
      <c r="K9" s="8" t="n">
        <v>12</v>
      </c>
      <c r="L9" s="8" t="inlineStr">
        <is>
          <t>PDF_ABRIL.pdf p.69 (Del 1 al 30 Abril 2025); PDF_AGOSTO.pdf p.66 (Del 1 al 31 Agosto 2025); PDF_DICIEMBRE.pdf p.65 (Del 1 al 31 Diciembre 2025); PDF_ENERO.pdf p.70 (Del 1 al 31 Enero 2025); PDF_FEBRERO.pdf p.69 (Del 1 al 28 Febrero 2025); PDF_JULIO.pdf p.67 (Del 1 al 31 Julio 2025); PDF_JUNIO.pdf p.66 (Del 1 al 30 Junio 2025); PDF_MARZO.pdf p.69 (Del 1 al 31 Marzo 2025); ... (+4 más)</t>
        </is>
      </c>
      <c r="M9" s="8" t="inlineStr">
        <is>
          <t>Aparece en nómina, pero no aparece en la hoja Empleados del Registro. Puede ser baja, exclusión del alcance, registro desactualizado o matrícula/ID RH distinto.</t>
        </is>
      </c>
      <c r="N9" s="8" t="inlineStr">
        <is>
          <t>Confirmar si la persona debe entrar en el Registro 2025. Si entra, añadirla/corregir el ID RH; si no entra, documentar exclusión.</t>
        </is>
      </c>
    </row>
    <row r="10" ht="78" customHeight="1">
      <c r="A10" s="18" t="inlineStr">
        <is>
          <t>Alta</t>
        </is>
      </c>
      <c r="B10" s="8" t="inlineStr">
        <is>
          <t>50964914L</t>
        </is>
      </c>
      <c r="C10" s="8" t="inlineStr">
        <is>
          <t>10336</t>
        </is>
      </c>
      <c r="D10" s="8" t="inlineStr">
        <is>
          <t>PATRICIA MASCARELL MUÑOZ</t>
        </is>
      </c>
      <c r="E10" s="8" t="inlineStr">
        <is>
          <t>Persona / matrícula en Registro</t>
        </is>
      </c>
      <c r="F10" s="8" t="inlineStr">
        <is>
          <t>Matrícula 10336 incluida en hoja Empleados del Registro, si entra en alcance</t>
        </is>
      </c>
      <c r="G10" s="8" t="inlineStr">
        <is>
          <t>No existe en el Registro Retributivo aportado</t>
        </is>
      </c>
      <c r="H10" s="19" t="n"/>
      <c r="I10" s="20" t="n">
        <v>38136.88</v>
      </c>
      <c r="J10" s="21">
        <f>IF(OR(H10="",I10=""),"",I10-H10)</f>
        <v/>
      </c>
      <c r="K10" s="8" t="n">
        <v>6</v>
      </c>
      <c r="L10" s="8" t="inlineStr">
        <is>
          <t>PDF_ABRIL.pdf p.43 (Del 1 al 30 Abril 2025); PDF_ENERO.pdf p.43 (Del 1 al 31 Enero 2025); PDF_FEBRERO.pdf p.43 (Del 1 al 28 Febrero 2025); PDF_FEBRERO_VARIABLE.pdf p.27 (Del 1 al 28 Febrero 2025); PDF_JULIO.pdf p.42 (Del 1 al 31 Julio 2025); PDF_MARZO.pdf p.43 (Del 1 al 31 Marzo 2025)</t>
        </is>
      </c>
      <c r="M10" s="8" t="inlineStr">
        <is>
          <t>Aparece en nómina, pero no aparece en la hoja Empleados del Registro. Puede ser baja, exclusión del alcance, registro desactualizado o matrícula/ID RH distinto.</t>
        </is>
      </c>
      <c r="N10" s="8" t="inlineStr">
        <is>
          <t>Confirmar si la persona debe entrar en el Registro 2025. Si entra, añadirla/corregir el ID RH; si no entra, documentar exclusión.</t>
        </is>
      </c>
    </row>
    <row r="11" ht="78" customHeight="1">
      <c r="A11" s="18" t="inlineStr">
        <is>
          <t>Alta</t>
        </is>
      </c>
      <c r="B11" s="8" t="inlineStr">
        <is>
          <t>27286820B</t>
        </is>
      </c>
      <c r="C11" s="8" t="inlineStr">
        <is>
          <t>10074</t>
        </is>
      </c>
      <c r="D11" s="8" t="inlineStr">
        <is>
          <t>RAFAELA DELMAS DEWISME</t>
        </is>
      </c>
      <c r="E11" s="8" t="inlineStr">
        <is>
          <t>Persona / matrícula en Registro</t>
        </is>
      </c>
      <c r="F11" s="8" t="inlineStr">
        <is>
          <t>Matrícula 10074 incluida en hoja Empleados del Registro, si entra en alcance</t>
        </is>
      </c>
      <c r="G11" s="8" t="inlineStr">
        <is>
          <t>No existe en el Registro Retributivo aportado</t>
        </is>
      </c>
      <c r="H11" s="19" t="n"/>
      <c r="I11" s="20" t="n">
        <v>46103.31</v>
      </c>
      <c r="J11" s="21">
        <f>IF(OR(H11="",I11=""),"",I11-H11)</f>
        <v/>
      </c>
      <c r="K11" s="8" t="n">
        <v>6</v>
      </c>
      <c r="L11" s="8" t="inlineStr">
        <is>
          <t>PDF_ABRIL.pdf p.4 (Del 1 al 30 Abril 2025); PDF_ENERO.pdf p.4 (Del 1 al 31 Enero 2025); PDF_FEBRERO.pdf p.4 (Del 1 al 28 Febrero 2025); PDF_FEBRERO_VARIABLE.pdf p.2 (Del 1 al 28 Febrero 2025); PDF_MARZO.pdf p.4 (Del 1 al 31 Marzo 2025); PDF_MAYO.pdf p.4 (Del 1 al 31 Mayo 2025)</t>
        </is>
      </c>
      <c r="M11" s="8" t="inlineStr">
        <is>
          <t>Aparece en nómina, pero no aparece en la hoja Empleados del Registro. Puede ser baja, exclusión del alcance, registro desactualizado o matrícula/ID RH distinto.</t>
        </is>
      </c>
      <c r="N11" s="8" t="inlineStr">
        <is>
          <t>Confirmar si la persona debe entrar en el Registro 2025. Si entra, añadirla/corregir el ID RH; si no entra, documentar exclusión.</t>
        </is>
      </c>
    </row>
    <row r="12" ht="78" customHeight="1">
      <c r="A12" s="18" t="inlineStr">
        <is>
          <t>Alta</t>
        </is>
      </c>
      <c r="B12" s="8" t="inlineStr">
        <is>
          <t>22548629G</t>
        </is>
      </c>
      <c r="C12" s="8" t="inlineStr">
        <is>
          <t>10477</t>
        </is>
      </c>
      <c r="D12" s="8" t="inlineStr">
        <is>
          <t>VICENTE SOLAZ PAVÓN</t>
        </is>
      </c>
      <c r="E12" s="8" t="inlineStr">
        <is>
          <t>Persona / matrícula en Registro</t>
        </is>
      </c>
      <c r="F12" s="8" t="inlineStr">
        <is>
          <t>Matrícula 10477 incluida en hoja Empleados del Registro, si entra en alcance</t>
        </is>
      </c>
      <c r="G12" s="8" t="inlineStr">
        <is>
          <t>No existe en el Registro Retributivo aportado</t>
        </is>
      </c>
      <c r="H12" s="19" t="n"/>
      <c r="I12" s="20" t="n">
        <v>26102.3</v>
      </c>
      <c r="J12" s="21">
        <f>IF(OR(H12="",I12=""),"",I12-H12)</f>
        <v/>
      </c>
      <c r="K12" s="8" t="n">
        <v>12</v>
      </c>
      <c r="L12" s="8" t="inlineStr">
        <is>
          <t>PDF_ABRIL.pdf p.70 (Del 1 al 30 Abril 2025); PDF_AGOSTO.pdf p.67 (Del 1 al 31 Agosto 2025); PDF_DICIEMBRE.pdf p.66 (Del 1 al 31 Diciembre 2025); PDF_ENERO.pdf p.71 (Del 1 al 31 Enero 2025); PDF_FEBRERO.pdf p.70 (Del 1 al 28 Febrero 2025); PDF_JULIO.pdf p.68 (Del 1 al 31 Julio 2025); PDF_JUNIO.pdf p.67 (Del 1 al 30 Junio 2025); PDF_MARZO.pdf p.70 (Del 1 al 31 Marzo 2025); ... (+4 más)</t>
        </is>
      </c>
      <c r="M12" s="8" t="inlineStr">
        <is>
          <t>Aparece en nómina, pero no aparece en la hoja Empleados del Registro. Puede ser baja, exclusión del alcance, registro desactualizado o matrícula/ID RH distinto.</t>
        </is>
      </c>
      <c r="N12" s="8" t="inlineStr">
        <is>
          <t>Confirmar si la persona debe entrar en el Registro 2025. Si entra, añadirla/corregir el ID RH; si no entra, documentar exclusión.</t>
        </is>
      </c>
    </row>
  </sheetData>
  <conditionalFormatting sqref="J2:J12">
    <cfRule type="cellIs" priority="1" operator="lessThan" dxfId="0">
      <formula>0</formula>
    </cfRule>
    <cfRule type="cellIs" priority="2" operator="greaterThan" dxfId="1">
      <formula>0</formula>
    </cfRule>
  </conditionalFormatting>
  <pageMargins left="0.25" right="0.25" top="0.5" bottom="0.5" header="0.5" footer="0.5"/>
  <pageSetup fitToHeight="0" fitToWidth="1"/>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M80"/>
  <sheetViews>
    <sheetView showGridLines="0" workbookViewId="0">
      <pane ySplit="1" topLeftCell="A2" activePane="bottomLeft" state="frozen"/>
      <selection pane="bottomLeft" activeCell="A1" sqref="A1"/>
    </sheetView>
  </sheetViews>
  <sheetFormatPr baseColWidth="8" defaultRowHeight="15"/>
  <cols>
    <col width="18" customWidth="1" min="1" max="1"/>
    <col width="14" customWidth="1" min="2" max="2"/>
    <col width="12" customWidth="1" min="3" max="3"/>
    <col width="32" customWidth="1" min="4" max="4"/>
    <col width="18" customWidth="1" min="5" max="5"/>
    <col width="24" customWidth="1" min="6" max="6"/>
    <col width="22" customWidth="1" min="7" max="7"/>
    <col width="22" customWidth="1" min="8" max="8"/>
    <col width="22" customWidth="1" min="9" max="9"/>
    <col width="18" customWidth="1" min="10" max="10"/>
    <col width="14" customWidth="1" min="11" max="11"/>
    <col width="62" customWidth="1" min="12" max="12"/>
    <col width="70" customWidth="1" min="13" max="13"/>
  </cols>
  <sheetData>
    <row r="1" ht="34" customHeight="1">
      <c r="A1" s="17" t="inlineStr">
        <is>
          <t>Estado</t>
        </is>
      </c>
      <c r="B1" s="17" t="inlineStr">
        <is>
          <t>NIF</t>
        </is>
      </c>
      <c r="C1" s="17" t="inlineStr">
        <is>
          <t>Matrícula</t>
        </is>
      </c>
      <c r="D1" s="17" t="inlineStr">
        <is>
          <t>Trabajador</t>
        </is>
      </c>
      <c r="E1" s="17" t="inlineStr">
        <is>
          <t>Salario Registro (€)</t>
        </is>
      </c>
      <c r="F1" s="17" t="inlineStr">
        <is>
          <t>Compl. Salariales Registro (€)</t>
        </is>
      </c>
      <c r="G1" s="17" t="inlineStr">
        <is>
          <t>Extrasalarial Registro (€)</t>
        </is>
      </c>
      <c r="H1" s="17" t="inlineStr">
        <is>
          <t>Total debería (Registro €)</t>
        </is>
      </c>
      <c r="I1" s="17" t="inlineStr">
        <is>
          <t>Total está (nóminas €)</t>
        </is>
      </c>
      <c r="J1" s="17" t="inlineStr">
        <is>
          <t>Diferencia (€)</t>
        </is>
      </c>
      <c r="K1" s="17" t="inlineStr">
        <is>
          <t>Nº nóminas/PDF</t>
        </is>
      </c>
      <c r="L1" s="17" t="inlineStr">
        <is>
          <t>Observaciones</t>
        </is>
      </c>
      <c r="M1" s="17" t="inlineStr">
        <is>
          <t>Fuentes / periodos</t>
        </is>
      </c>
    </row>
    <row r="2" ht="62" customHeight="1">
      <c r="A2" s="18" t="inlineStr">
        <is>
          <t>Revisar dato maestro</t>
        </is>
      </c>
      <c r="B2" s="8" t="inlineStr">
        <is>
          <t>44866062P</t>
        </is>
      </c>
      <c r="C2" s="8" t="inlineStr">
        <is>
          <t>10461</t>
        </is>
      </c>
      <c r="D2" s="8" t="inlineStr">
        <is>
          <t>JOSEFA IVARS ESCUDERO</t>
        </is>
      </c>
      <c r="E2" s="21" t="n">
        <v>16329.74</v>
      </c>
      <c r="F2" s="21" t="n">
        <v>9863.08</v>
      </c>
      <c r="G2" s="21" t="n">
        <v>4767.01</v>
      </c>
      <c r="H2" s="21">
        <f>IF(COUNTA(E2:G2)=0,"",SUM(E2:G2))</f>
        <v/>
      </c>
      <c r="I2" s="21" t="n">
        <v>28859.32</v>
      </c>
      <c r="J2" s="21">
        <f>IF(OR(H2="",I2=""),"",I2-H2)</f>
        <v/>
      </c>
      <c r="K2" s="8" t="n">
        <v>15</v>
      </c>
      <c r="L2" s="8" t="inlineStr">
        <is>
          <t>Tiene una incidencia en la hoja Campos_mal. La diferencia es la suma de Total Devengado de PDFs frente al total del Registro.</t>
        </is>
      </c>
      <c r="M2" s="8" t="inlineStr">
        <is>
          <t>PDF_ABRIL.pdf p.60 (Del 1 al 30 Abril 2025); PDF_AGOSTO.pdf p.58 (Del 1 al 31 Agosto 2025); PDF_DICIEMBRE.pdf p.57 (Del 1 al 31 Diciembre 2025); PDF_ENERO.pdf p.60 (Del 1 al 31 Enero 2025); PDF_FEBRERO.pdf p.60 (Del 1 al 28 Febrero 2025); PDF_JULIO.pdf p.59 (Del 1 al 31 Julio 2025); PDF_JULIO_23_06.pdf p.3 (Del 1 al 31 Julio 2025); PDF_JULIO_24_06.pdf p.3 (Del 1 al 31 Julio 2025); ... (+7 más)</t>
        </is>
      </c>
    </row>
    <row r="3" ht="62" customHeight="1">
      <c r="A3" s="22" t="inlineStr">
        <is>
          <t>Falta en Registro</t>
        </is>
      </c>
      <c r="B3" s="8" t="inlineStr">
        <is>
          <t>51557369V</t>
        </is>
      </c>
      <c r="C3" s="8" t="inlineStr">
        <is>
          <t>BC6</t>
        </is>
      </c>
      <c r="D3" s="8" t="inlineStr">
        <is>
          <t>JAIME MELERO CRUZ</t>
        </is>
      </c>
      <c r="E3" s="21" t="n"/>
      <c r="F3" s="21" t="n"/>
      <c r="G3" s="21" t="n"/>
      <c r="H3" s="21">
        <f>IF(COUNTA(E3:G3)=0,"",SUM(E3:G3))</f>
        <v/>
      </c>
      <c r="I3" s="21" t="n">
        <v>4318.31</v>
      </c>
      <c r="J3" s="21">
        <f>IF(OR(H3="",I3=""),"",I3-H3)</f>
        <v/>
      </c>
      <c r="K3" s="8" t="n">
        <v>6</v>
      </c>
      <c r="L3" s="8" t="inlineStr">
        <is>
          <t>Aparece en nóminas, pero no tiene línea en la hoja Empleados del Registro. No se puede calcular "debería" hasta validar si entra en alcance.</t>
        </is>
      </c>
      <c r="M3" s="8" t="inlineStr">
        <is>
          <t>PDF_AGOSTO.pdf p.70 (Del 1 al 31 Agosto 2025); PDF_DICIEMBRE.pdf p.74 (Del 1 al 31 Diciembre 2025); PDF_JULIO.pdf p.71 (Del 1 al 31 Julio 2025); PDF_NOVIEMBRE.pdf p.70 (Del 1 al 30 Noviembre 2025); PDF_OCTUBRE.pdf p.69 (Del 1 al 31 Octubre 2025); PDF_SEPTIEMBRE.pdf p.69 (Del 1 al 30 Septiembre 2025)</t>
        </is>
      </c>
    </row>
    <row r="4" ht="62" customHeight="1">
      <c r="A4" s="22" t="inlineStr">
        <is>
          <t>Falta en Registro</t>
        </is>
      </c>
      <c r="B4" s="8" t="inlineStr">
        <is>
          <t>02767188N</t>
        </is>
      </c>
      <c r="C4" s="8" t="inlineStr">
        <is>
          <t>10474</t>
        </is>
      </c>
      <c r="D4" s="8" t="inlineStr">
        <is>
          <t>KODDY ANDERSON MUÑOZ SALAZAR</t>
        </is>
      </c>
      <c r="E4" s="21" t="n"/>
      <c r="F4" s="21" t="n"/>
      <c r="G4" s="21" t="n"/>
      <c r="H4" s="21">
        <f>IF(COUNTA(E4:G4)=0,"",SUM(E4:G4))</f>
        <v/>
      </c>
      <c r="I4" s="21" t="n">
        <v>768.6</v>
      </c>
      <c r="J4" s="21">
        <f>IF(OR(H4="",I4=""),"",I4-H4)</f>
        <v/>
      </c>
      <c r="K4" s="8" t="n">
        <v>1</v>
      </c>
      <c r="L4" s="8" t="inlineStr">
        <is>
          <t>Aparece en nóminas, pero no tiene línea en la hoja Empleados del Registro. No se puede calcular "debería" hasta validar si entra en alcance.</t>
        </is>
      </c>
      <c r="M4" s="8" t="inlineStr">
        <is>
          <t>PDF_ENERO.pdf p.68 (Del 1 al 31 Enero 2025)</t>
        </is>
      </c>
    </row>
    <row r="5" ht="62" customHeight="1">
      <c r="A5" s="22" t="inlineStr">
        <is>
          <t>Falta en Registro</t>
        </is>
      </c>
      <c r="B5" s="8" t="inlineStr">
        <is>
          <t>49573610P</t>
        </is>
      </c>
      <c r="C5" s="8" t="inlineStr">
        <is>
          <t>10475</t>
        </is>
      </c>
      <c r="D5" s="8" t="inlineStr">
        <is>
          <t>LUCÍA GÓMEZ GONZÁLEZ</t>
        </is>
      </c>
      <c r="E5" s="21" t="n"/>
      <c r="F5" s="21" t="n"/>
      <c r="G5" s="21" t="n"/>
      <c r="H5" s="21">
        <f>IF(COUNTA(E5:G5)=0,"",SUM(E5:G5))</f>
        <v/>
      </c>
      <c r="I5" s="21" t="n">
        <v>6614.47</v>
      </c>
      <c r="J5" s="21">
        <f>IF(OR(H5="",I5=""),"",I5-H5)</f>
        <v/>
      </c>
      <c r="K5" s="8" t="n">
        <v>5</v>
      </c>
      <c r="L5" s="8" t="inlineStr">
        <is>
          <t>Aparece en nóminas, pero no tiene línea en la hoja Empleados del Registro. No se puede calcular "debería" hasta validar si entra en alcance.</t>
        </is>
      </c>
      <c r="M5" s="8" t="inlineStr">
        <is>
          <t>PDF_ABRIL.pdf p.68 (Del 1 al 30 Abril 2025); PDF_ENERO.pdf p.69 (Del 1 al 31 Enero 2025); PDF_FEBRERO.pdf p.68 (Del 1 al 28 Febrero 2025); PDF_MARZO.pdf p.68 (Del 1 al 31 Marzo 2025); PDF_MARZO_22_03.pdf p.27 (Del 1 al 31 Marzo 2025)</t>
        </is>
      </c>
    </row>
    <row r="6" ht="62" customHeight="1">
      <c r="A6" s="22" t="inlineStr">
        <is>
          <t>Falta en Registro</t>
        </is>
      </c>
      <c r="B6" s="8" t="inlineStr">
        <is>
          <t>27282317Q</t>
        </is>
      </c>
      <c r="C6" s="8" t="inlineStr">
        <is>
          <t>10076</t>
        </is>
      </c>
      <c r="D6" s="8" t="inlineStr">
        <is>
          <t>MANUEL SALAS FERNANDEZ</t>
        </is>
      </c>
      <c r="E6" s="21" t="n"/>
      <c r="F6" s="21" t="n"/>
      <c r="G6" s="21" t="n"/>
      <c r="H6" s="21">
        <f>IF(COUNTA(E6:G6)=0,"",SUM(E6:G6))</f>
        <v/>
      </c>
      <c r="I6" s="21" t="n">
        <v>41808.1</v>
      </c>
      <c r="J6" s="21">
        <f>IF(OR(H6="",I6=""),"",I6-H6)</f>
        <v/>
      </c>
      <c r="K6" s="8" t="n">
        <v>13</v>
      </c>
      <c r="L6" s="8" t="inlineStr">
        <is>
          <t>Aparece en nóminas, pero no tiene línea en la hoja Empleados del Registro. No se puede calcular "debería" hasta validar si entra en alcance.</t>
        </is>
      </c>
      <c r="M6" s="8" t="inlineStr">
        <is>
          <t>PDF_ABRIL.pdf p.6 (Del 1 al 30 Abril 2025); PDF_AGOSTO.pdf p.5 (Del 1 al 31 Agosto 2025); PDF_DICIEMBRE.pdf p.5 (Del 1 al 31 Diciembre 2025); PDF_ENERO.pdf p.6 (Del 1 al 31 Enero 2025); PDF_FEBRERO.pdf p.6 (Del 1 al 28 Febrero 2025); PDF_FEBRERO_VARIABLE.pdf p.3 (Del 1 al 28 Febrero 2025); PDF_JULIO.pdf p.5 (Del 1 al 31 Julio 2025); PDF_JUNIO.pdf p.5 (Del 1 al 30 Junio 2025); ... (+5 más)</t>
        </is>
      </c>
    </row>
    <row r="7" ht="62" customHeight="1">
      <c r="A7" s="22" t="inlineStr">
        <is>
          <t>Falta en Registro</t>
        </is>
      </c>
      <c r="B7" s="8" t="inlineStr">
        <is>
          <t>43400385Y</t>
        </is>
      </c>
      <c r="C7" s="8" t="inlineStr">
        <is>
          <t>10189</t>
        </is>
      </c>
      <c r="D7" s="8" t="inlineStr">
        <is>
          <t>MARIA ROSA PEREZ TORCAL</t>
        </is>
      </c>
      <c r="E7" s="21" t="n"/>
      <c r="F7" s="21" t="n"/>
      <c r="G7" s="21" t="n"/>
      <c r="H7" s="21">
        <f>IF(COUNTA(E7:G7)=0,"",SUM(E7:G7))</f>
        <v/>
      </c>
      <c r="I7" s="21" t="n">
        <v>49061.8</v>
      </c>
      <c r="J7" s="21">
        <f>IF(OR(H7="",I7=""),"",I7-H7)</f>
        <v/>
      </c>
      <c r="K7" s="8" t="n">
        <v>9</v>
      </c>
      <c r="L7" s="8" t="inlineStr">
        <is>
          <t>Aparece en nóminas, pero no tiene línea en la hoja Empleados del Registro. No se puede calcular "debería" hasta validar si entra en alcance.</t>
        </is>
      </c>
      <c r="M7" s="8" t="inlineStr">
        <is>
          <t>PDF_ABRIL.pdf p.16 (Del 1 al 30 Abril 2025); PDF_AGOSTO.pdf p.15 (Del 1 al 31 Agosto 2025); PDF_ENERO.pdf p.16 (Del 1 al 31 Enero 2025); PDF_FEBRERO.pdf p.16 (Del 1 al 28 Febrero 2025); PDF_FEBRERO_VARIABLE.pdf p.8 (Del 1 al 28 Febrero 2025); PDF_JULIO.pdf p.15 (Del 1 al 31 Julio 2025); PDF_JUNIO.pdf p.15 (Del 1 al 30 Junio 2025); PDF_MARZO.pdf p.16 (Del 1 al 31 Marzo 2025); ... (+1 más)</t>
        </is>
      </c>
    </row>
    <row r="8" ht="62" customHeight="1">
      <c r="A8" s="22" t="inlineStr">
        <is>
          <t>Falta en Registro</t>
        </is>
      </c>
      <c r="B8" s="8" t="inlineStr">
        <is>
          <t>22539357R</t>
        </is>
      </c>
      <c r="C8" s="8" t="inlineStr">
        <is>
          <t>10476</t>
        </is>
      </c>
      <c r="D8" s="8" t="inlineStr">
        <is>
          <t>MARÍA JOSE PÉREZ GRANADO</t>
        </is>
      </c>
      <c r="E8" s="21" t="n"/>
      <c r="F8" s="21" t="n"/>
      <c r="G8" s="21" t="n"/>
      <c r="H8" s="21">
        <f>IF(COUNTA(E8:G8)=0,"",SUM(E8:G8))</f>
        <v/>
      </c>
      <c r="I8" s="21" t="n">
        <v>23185.27</v>
      </c>
      <c r="J8" s="21">
        <f>IF(OR(H8="",I8=""),"",I8-H8)</f>
        <v/>
      </c>
      <c r="K8" s="8" t="n">
        <v>12</v>
      </c>
      <c r="L8" s="8" t="inlineStr">
        <is>
          <t>Aparece en nóminas, pero no tiene línea en la hoja Empleados del Registro. No se puede calcular "debería" hasta validar si entra en alcance.</t>
        </is>
      </c>
      <c r="M8" s="8" t="inlineStr">
        <is>
          <t>PDF_ABRIL.pdf p.69 (Del 1 al 30 Abril 2025); PDF_AGOSTO.pdf p.66 (Del 1 al 31 Agosto 2025); PDF_DICIEMBRE.pdf p.65 (Del 1 al 31 Diciembre 2025); PDF_ENERO.pdf p.70 (Del 1 al 31 Enero 2025); PDF_FEBRERO.pdf p.69 (Del 1 al 28 Febrero 2025); PDF_JULIO.pdf p.67 (Del 1 al 31 Julio 2025); PDF_JUNIO.pdf p.66 (Del 1 al 30 Junio 2025); PDF_MARZO.pdf p.69 (Del 1 al 31 Marzo 2025); ... (+4 más)</t>
        </is>
      </c>
    </row>
    <row r="9" ht="62" customHeight="1">
      <c r="A9" s="22" t="inlineStr">
        <is>
          <t>Falta en Registro</t>
        </is>
      </c>
      <c r="B9" s="8" t="inlineStr">
        <is>
          <t>50964914L</t>
        </is>
      </c>
      <c r="C9" s="8" t="inlineStr">
        <is>
          <t>10336</t>
        </is>
      </c>
      <c r="D9" s="8" t="inlineStr">
        <is>
          <t>PATRICIA MASCARELL MUÑOZ</t>
        </is>
      </c>
      <c r="E9" s="21" t="n"/>
      <c r="F9" s="21" t="n"/>
      <c r="G9" s="21" t="n"/>
      <c r="H9" s="21">
        <f>IF(COUNTA(E9:G9)=0,"",SUM(E9:G9))</f>
        <v/>
      </c>
      <c r="I9" s="21" t="n">
        <v>38136.88</v>
      </c>
      <c r="J9" s="21">
        <f>IF(OR(H9="",I9=""),"",I9-H9)</f>
        <v/>
      </c>
      <c r="K9" s="8" t="n">
        <v>6</v>
      </c>
      <c r="L9" s="8" t="inlineStr">
        <is>
          <t>Aparece en nóminas, pero no tiene línea en la hoja Empleados del Registro. No se puede calcular "debería" hasta validar si entra en alcance.</t>
        </is>
      </c>
      <c r="M9" s="8" t="inlineStr">
        <is>
          <t>PDF_ABRIL.pdf p.43 (Del 1 al 30 Abril 2025); PDF_ENERO.pdf p.43 (Del 1 al 31 Enero 2025); PDF_FEBRERO.pdf p.43 (Del 1 al 28 Febrero 2025); PDF_FEBRERO_VARIABLE.pdf p.27 (Del 1 al 28 Febrero 2025); PDF_JULIO.pdf p.42 (Del 1 al 31 Julio 2025); PDF_MARZO.pdf p.43 (Del 1 al 31 Marzo 2025)</t>
        </is>
      </c>
    </row>
    <row r="10" ht="62" customHeight="1">
      <c r="A10" s="22" t="inlineStr">
        <is>
          <t>Falta en Registro</t>
        </is>
      </c>
      <c r="B10" s="8" t="inlineStr">
        <is>
          <t>27286820B</t>
        </is>
      </c>
      <c r="C10" s="8" t="inlineStr">
        <is>
          <t>10074</t>
        </is>
      </c>
      <c r="D10" s="8" t="inlineStr">
        <is>
          <t>RAFAELA DELMAS DEWISME</t>
        </is>
      </c>
      <c r="E10" s="21" t="n"/>
      <c r="F10" s="21" t="n"/>
      <c r="G10" s="21" t="n"/>
      <c r="H10" s="21">
        <f>IF(COUNTA(E10:G10)=0,"",SUM(E10:G10))</f>
        <v/>
      </c>
      <c r="I10" s="21" t="n">
        <v>46103.31</v>
      </c>
      <c r="J10" s="21">
        <f>IF(OR(H10="",I10=""),"",I10-H10)</f>
        <v/>
      </c>
      <c r="K10" s="8" t="n">
        <v>6</v>
      </c>
      <c r="L10" s="8" t="inlineStr">
        <is>
          <t>Aparece en nóminas, pero no tiene línea en la hoja Empleados del Registro. No se puede calcular "debería" hasta validar si entra en alcance.</t>
        </is>
      </c>
      <c r="M10" s="8" t="inlineStr">
        <is>
          <t>PDF_ABRIL.pdf p.4 (Del 1 al 30 Abril 2025); PDF_ENERO.pdf p.4 (Del 1 al 31 Enero 2025); PDF_FEBRERO.pdf p.4 (Del 1 al 28 Febrero 2025); PDF_FEBRERO_VARIABLE.pdf p.2 (Del 1 al 28 Febrero 2025); PDF_MARZO.pdf p.4 (Del 1 al 31 Marzo 2025); PDF_MAYO.pdf p.4 (Del 1 al 31 Mayo 2025)</t>
        </is>
      </c>
    </row>
    <row r="11" ht="62" customHeight="1">
      <c r="A11" s="22" t="inlineStr">
        <is>
          <t>Falta en Registro</t>
        </is>
      </c>
      <c r="B11" s="8" t="inlineStr">
        <is>
          <t>22548629G</t>
        </is>
      </c>
      <c r="C11" s="8" t="inlineStr">
        <is>
          <t>10477</t>
        </is>
      </c>
      <c r="D11" s="8" t="inlineStr">
        <is>
          <t>VICENTE SOLAZ PAVÓN</t>
        </is>
      </c>
      <c r="E11" s="21" t="n"/>
      <c r="F11" s="21" t="n"/>
      <c r="G11" s="21" t="n"/>
      <c r="H11" s="21">
        <f>IF(COUNTA(E11:G11)=0,"",SUM(E11:G11))</f>
        <v/>
      </c>
      <c r="I11" s="21" t="n">
        <v>26102.3</v>
      </c>
      <c r="J11" s="21">
        <f>IF(OR(H11="",I11=""),"",I11-H11)</f>
        <v/>
      </c>
      <c r="K11" s="8" t="n">
        <v>12</v>
      </c>
      <c r="L11" s="8" t="inlineStr">
        <is>
          <t>Aparece en nóminas, pero no tiene línea en la hoja Empleados del Registro. No se puede calcular "debería" hasta validar si entra en alcance.</t>
        </is>
      </c>
      <c r="M11" s="8" t="inlineStr">
        <is>
          <t>PDF_ABRIL.pdf p.70 (Del 1 al 30 Abril 2025); PDF_AGOSTO.pdf p.67 (Del 1 al 31 Agosto 2025); PDF_DICIEMBRE.pdf p.66 (Del 1 al 31 Diciembre 2025); PDF_ENERO.pdf p.71 (Del 1 al 31 Enero 2025); PDF_FEBRERO.pdf p.70 (Del 1 al 28 Febrero 2025); PDF_JULIO.pdf p.68 (Del 1 al 31 Julio 2025); PDF_JUNIO.pdf p.67 (Del 1 al 30 Junio 2025); PDF_MARZO.pdf p.70 (Del 1 al 31 Marzo 2025); ... (+4 más)</t>
        </is>
      </c>
    </row>
    <row r="12" ht="62" customHeight="1">
      <c r="A12" s="23" t="inlineStr">
        <is>
          <t>Comparado</t>
        </is>
      </c>
      <c r="B12" s="8" t="inlineStr">
        <is>
          <t>71908549S</t>
        </is>
      </c>
      <c r="C12" s="8" t="inlineStr">
        <is>
          <t>10489</t>
        </is>
      </c>
      <c r="D12" s="8" t="inlineStr">
        <is>
          <t>ALBERTO GARCIA GARCIA</t>
        </is>
      </c>
      <c r="E12" s="21" t="n">
        <v>20131.06</v>
      </c>
      <c r="F12" s="21" t="n">
        <v>20617.84</v>
      </c>
      <c r="G12" s="21" t="n">
        <v>1743.46</v>
      </c>
      <c r="H12" s="21">
        <f>IF(COUNTA(E12:G12)=0,"",SUM(E12:G12))</f>
        <v/>
      </c>
      <c r="I12" s="21" t="n">
        <v>974.98</v>
      </c>
      <c r="J12" s="21">
        <f>IF(OR(H12="",I12=""),"",I12-H12)</f>
        <v/>
      </c>
      <c r="K12" s="8" t="n">
        <v>1</v>
      </c>
      <c r="L12" s="8" t="inlineStr">
        <is>
          <t>Diferencia informativa: Registro usa retribuciones normalizadas + variables; nóminas usa Total Devengado real de los PDFs aportados.</t>
        </is>
      </c>
      <c r="M12" s="8" t="inlineStr">
        <is>
          <t>PDF_DICIEMBRE.pdf p.72 (Del 1 al 31 Diciembre 2025)</t>
        </is>
      </c>
    </row>
    <row r="13" ht="62" customHeight="1">
      <c r="A13" s="23" t="inlineStr">
        <is>
          <t>Comparado</t>
        </is>
      </c>
      <c r="B13" s="8" t="inlineStr">
        <is>
          <t>14301435N</t>
        </is>
      </c>
      <c r="C13" s="8" t="inlineStr">
        <is>
          <t>10468</t>
        </is>
      </c>
      <c r="D13" s="8" t="inlineStr">
        <is>
          <t>ALVARO CERRO PITILLAS</t>
        </is>
      </c>
      <c r="E13" s="21" t="n">
        <v>20131.06</v>
      </c>
      <c r="F13" s="21" t="n">
        <v>31239.04</v>
      </c>
      <c r="G13" s="21" t="n">
        <v>4244.99</v>
      </c>
      <c r="H13" s="21">
        <f>IF(COUNTA(E13:G13)=0,"",SUM(E13:G13))</f>
        <v/>
      </c>
      <c r="I13" s="21" t="n">
        <v>53625.46</v>
      </c>
      <c r="J13" s="21">
        <f>IF(OR(H13="",I13=""),"",I13-H13)</f>
        <v/>
      </c>
      <c r="K13" s="8" t="n">
        <v>14</v>
      </c>
      <c r="L13" s="8" t="inlineStr">
        <is>
          <t>Diferencia informativa: Registro usa retribuciones normalizadas + variables; nóminas usa Total Devengado real de los PDFs aportados.</t>
        </is>
      </c>
      <c r="M13" s="8" t="inlineStr">
        <is>
          <t>PDF_ABRIL.pdf p.64 (Del 1 al 30 Abril 2025); PDF_AGOSTO.pdf p.62 (Del 1 al 31 Agosto 2025); PDF_DICIEMBRE.pdf p.61 (Del 1 al 31 Diciembre 2025); PDF_ENERO.pdf p.64 (Del 1 al 31 Enero 2025); PDF_FEBRERO.pdf p.64 (Del 1 al 28 Febrero 2025); PDF_FEBRERO_VARIABLE.pdf p.36 (Del 1 al 28 Febrero 2025); PDF_JULIO.pdf p.63 (Del 1 al 31 Julio 2025); PDF_JUNIO.pdf p.62 (Del 1 al 30 Junio 2025); ... (+6 más)</t>
        </is>
      </c>
    </row>
    <row r="14" ht="62" customHeight="1">
      <c r="A14" s="23" t="inlineStr">
        <is>
          <t>Comparado</t>
        </is>
      </c>
      <c r="B14" s="8" t="inlineStr">
        <is>
          <t>50210214H</t>
        </is>
      </c>
      <c r="C14" s="8" t="inlineStr">
        <is>
          <t>10275</t>
        </is>
      </c>
      <c r="D14" s="8" t="inlineStr">
        <is>
          <t>ANA BELEN SANCHEZ RAMIREZ</t>
        </is>
      </c>
      <c r="E14" s="21" t="n">
        <v>21137.62</v>
      </c>
      <c r="F14" s="21" t="n">
        <v>15456.76</v>
      </c>
      <c r="G14" s="21" t="n">
        <v>4705.31</v>
      </c>
      <c r="H14" s="21">
        <f>IF(COUNTA(E14:G14)=0,"",SUM(E14:G14))</f>
        <v/>
      </c>
      <c r="I14" s="21" t="n">
        <v>38450.68</v>
      </c>
      <c r="J14" s="21">
        <f>IF(OR(H14="",I14=""),"",I14-H14)</f>
        <v/>
      </c>
      <c r="K14" s="8" t="n">
        <v>14</v>
      </c>
      <c r="L14" s="8" t="inlineStr">
        <is>
          <t>Diferencia informativa: Registro usa retribuciones normalizadas + variables; nóminas usa Total Devengado real de los PDFs aportados.</t>
        </is>
      </c>
      <c r="M14" s="8" t="inlineStr">
        <is>
          <t>PDF_ABRIL.pdf p.26 (Del 1 al 30 Abril 2025); PDF_AGOSTO.pdf p.25 (Del 1 al 31 Agosto 2025); PDF_DICIEMBRE.pdf p.24 (Del 1 al 31 Diciembre 2025); PDF_ENERO.pdf p.26 (Del 1 al 31 Enero 2025); PDF_FEBRERO.pdf p.26 (Del 1 al 28 Febrero 2025); PDF_FEBRERO_VARIABLE.pdf p.16 (Del 1 al 28 Febrero 2025); PDF_JULIO.pdf p.25 (Del 1 al 31 Julio 2025); PDF_JUNIO.pdf p.25 (Del 1 al 30 Junio 2025); ... (+6 más)</t>
        </is>
      </c>
    </row>
    <row r="15" ht="62" customHeight="1">
      <c r="A15" s="23" t="inlineStr">
        <is>
          <t>Comparado</t>
        </is>
      </c>
      <c r="B15" s="8" t="inlineStr">
        <is>
          <t>05952421K</t>
        </is>
      </c>
      <c r="C15" s="8" t="inlineStr">
        <is>
          <t>10483</t>
        </is>
      </c>
      <c r="D15" s="8" t="inlineStr">
        <is>
          <t>ANA BELÉN YEBES GÓMEZ</t>
        </is>
      </c>
      <c r="E15" s="21" t="n">
        <v>18943.96</v>
      </c>
      <c r="F15" s="21" t="n">
        <v>5351.8</v>
      </c>
      <c r="G15" s="21" t="n">
        <v>2694.03</v>
      </c>
      <c r="H15" s="21">
        <f>IF(COUNTA(E15:G15)=0,"",SUM(E15:G15))</f>
        <v/>
      </c>
      <c r="I15" s="21" t="n">
        <v>11447.99</v>
      </c>
      <c r="J15" s="21">
        <f>IF(OR(H15="",I15=""),"",I15-H15)</f>
        <v/>
      </c>
      <c r="K15" s="8" t="n">
        <v>7</v>
      </c>
      <c r="L15" s="8" t="inlineStr">
        <is>
          <t>Diferencia informativa: Registro usa retribuciones normalizadas + variables; nóminas usa Total Devengado real de los PDFs aportados.</t>
        </is>
      </c>
      <c r="M15" s="8" t="inlineStr">
        <is>
          <t>PDF_AGOSTO.pdf p.69 (Del 1 al 31 Agosto 2025); PDF_DICIEMBRE.pdf p.68 (Del 1 al 31 Diciembre 2025); PDF_JULIO.pdf p.70 (Del 1 al 31 Julio 2025); PDF_JUNIO.pdf p.69 (Del 1 al 30 Junio 2025); PDF_NOVIEMBRE.pdf p.68 (Del 1 al 30 Noviembre 2025); PDF_OCTUBRE.pdf p.68 (Del 1 al 31 Octubre 2025); PDF_SEPTIEMBRE.pdf p.68 (Del 1 al 30 Septiembre 2025)</t>
        </is>
      </c>
    </row>
    <row r="16" ht="62" customHeight="1">
      <c r="A16" s="23" t="inlineStr">
        <is>
          <t>Comparado</t>
        </is>
      </c>
      <c r="B16" s="8" t="inlineStr">
        <is>
          <t>72799145M</t>
        </is>
      </c>
      <c r="C16" s="8" t="inlineStr">
        <is>
          <t>10473</t>
        </is>
      </c>
      <c r="D16" s="8" t="inlineStr">
        <is>
          <t>ANDREA MORENO MARTÍNEZ</t>
        </is>
      </c>
      <c r="E16" s="21" t="n">
        <v>20131.06</v>
      </c>
      <c r="F16" s="21" t="n">
        <v>20263.84</v>
      </c>
      <c r="G16" s="21" t="n">
        <v>4327.45</v>
      </c>
      <c r="H16" s="21">
        <f>IF(COUNTA(E16:G16)=0,"",SUM(E16:G16))</f>
        <v/>
      </c>
      <c r="I16" s="21" t="n">
        <v>40239.06</v>
      </c>
      <c r="J16" s="21">
        <f>IF(OR(H16="",I16=""),"",I16-H16)</f>
        <v/>
      </c>
      <c r="K16" s="8" t="n">
        <v>13</v>
      </c>
      <c r="L16" s="8" t="inlineStr">
        <is>
          <t>Diferencia informativa: Registro usa retribuciones normalizadas + variables; nóminas usa Total Devengado real de los PDFs aportados.</t>
        </is>
      </c>
      <c r="M16" s="8" t="inlineStr">
        <is>
          <t>PDF_ABRIL.pdf p.67 (Del 1 al 30 Abril 2025); PDF_AGOSTO.pdf p.65 (Del 1 al 31 Agosto 2025); PDF_DICIEMBRE.pdf p.64 (Del 1 al 31 Diciembre 2025); PDF_ENERO.pdf p.67 (Del 1 al 31 Enero 2025); PDF_FEBRERO.pdf p.67 (Del 1 al 28 Febrero 2025); PDF_FEBRERO_VARIABLE.pdf p.37 (Del 1 al 28 Febrero 2025); PDF_JULIO.pdf p.66 (Del 1 al 31 Julio 2025); PDF_JUNIO.pdf p.65 (Del 1 al 30 Junio 2025); ... (+5 más)</t>
        </is>
      </c>
    </row>
    <row r="17" ht="62" customHeight="1">
      <c r="A17" s="23" t="inlineStr">
        <is>
          <t>Comparado</t>
        </is>
      </c>
      <c r="B17" s="8" t="inlineStr">
        <is>
          <t>25099608F</t>
        </is>
      </c>
      <c r="C17" s="8" t="inlineStr">
        <is>
          <t>10072</t>
        </is>
      </c>
      <c r="D17" s="8" t="inlineStr">
        <is>
          <t>ANTONIA JESUS ROMERO BURGOS</t>
        </is>
      </c>
      <c r="E17" s="21" t="n">
        <v>20607.48</v>
      </c>
      <c r="F17" s="21" t="n">
        <v>13101.02</v>
      </c>
      <c r="G17" s="21" t="n">
        <v>4447.26</v>
      </c>
      <c r="H17" s="21">
        <f>IF(COUNTA(E17:G17)=0,"",SUM(E17:G17))</f>
        <v/>
      </c>
      <c r="I17" s="21" t="n">
        <v>35211.44</v>
      </c>
      <c r="J17" s="21">
        <f>IF(OR(H17="",I17=""),"",I17-H17)</f>
        <v/>
      </c>
      <c r="K17" s="8" t="n">
        <v>13</v>
      </c>
      <c r="L17" s="8" t="inlineStr">
        <is>
          <t>Diferencia informativa: Registro usa retribuciones normalizadas + variables; nóminas usa Total Devengado real de los PDFs aportados.</t>
        </is>
      </c>
      <c r="M17" s="8" t="inlineStr">
        <is>
          <t>PDF_ABRIL.pdf p.3 (Del 1 al 30 Abril 2025); PDF_AGOSTO.pdf p.3 (Del 1 al 31 Agosto 2025); PDF_DICIEMBRE.pdf p.3 (Del 1 al 31 Diciembre 2025); PDF_ENERO.pdf p.3 (Del 1 al 31 Enero 2025); PDF_FEBRERO.pdf p.3 (Del 1 al 28 Febrero 2025); PDF_JULIO.pdf p.3 (Del 1 al 31 Julio 2025); PDF_JUNIO.pdf p.3 (Del 1 al 30 Junio 2025); PDF_MARZO.pdf p.3 (Del 1 al 31 Marzo 2025); ... (+5 más)</t>
        </is>
      </c>
    </row>
    <row r="18" ht="62" customHeight="1">
      <c r="A18" s="23" t="inlineStr">
        <is>
          <t>Comparado</t>
        </is>
      </c>
      <c r="B18" s="8" t="inlineStr">
        <is>
          <t>36095573V</t>
        </is>
      </c>
      <c r="C18" s="8" t="inlineStr">
        <is>
          <t>10354</t>
        </is>
      </c>
      <c r="D18" s="8" t="inlineStr">
        <is>
          <t>ARTURO BOUZADA PLATERO</t>
        </is>
      </c>
      <c r="E18" s="21" t="n">
        <v>22169.9</v>
      </c>
      <c r="F18" s="21" t="n">
        <v>26458.88</v>
      </c>
      <c r="G18" s="21" t="n">
        <v>4947.63</v>
      </c>
      <c r="H18" s="21">
        <f>IF(COUNTA(E18:G18)=0,"",SUM(E18:G18))</f>
        <v/>
      </c>
      <c r="I18" s="21" t="n">
        <v>49875.18</v>
      </c>
      <c r="J18" s="21">
        <f>IF(OR(H18="",I18=""),"",I18-H18)</f>
        <v/>
      </c>
      <c r="K18" s="8" t="n">
        <v>13</v>
      </c>
      <c r="L18" s="8" t="inlineStr">
        <is>
          <t>Diferencia informativa: Registro usa retribuciones normalizadas + variables; nóminas usa Total Devengado real de los PDFs aportados.</t>
        </is>
      </c>
      <c r="M18" s="8" t="inlineStr">
        <is>
          <t>PDF_ABRIL.pdf p.50 (Del 1 al 30 Abril 2025); PDF_AGOSTO.pdf p.48 (Del 1 al 31 Agosto 2025); PDF_DICIEMBRE.pdf p.47 (Del 1 al 31 Diciembre 2025); PDF_ENERO.pdf p.50 (Del 1 al 31 Enero 2025); PDF_FEBRERO.pdf p.50 (Del 1 al 28 Febrero 2025); PDF_JULIO.pdf p.49 (Del 1 al 31 Julio 2025); PDF_JUNIO.pdf p.48 (Del 1 al 30 Junio 2025); PDF_MARZO.pdf p.50 (Del 1 al 31 Marzo 2025); ... (+5 más)</t>
        </is>
      </c>
    </row>
    <row r="19" ht="62" customHeight="1">
      <c r="A19" s="23" t="inlineStr">
        <is>
          <t>Comparado</t>
        </is>
      </c>
      <c r="B19" s="8" t="inlineStr">
        <is>
          <t>02537648N</t>
        </is>
      </c>
      <c r="C19" s="8" t="inlineStr">
        <is>
          <t>10369</t>
        </is>
      </c>
      <c r="D19" s="8" t="inlineStr">
        <is>
          <t>BEATRIZ JIMENEZ GONZALEZ</t>
        </is>
      </c>
      <c r="E19" s="21" t="n">
        <v>22169.9</v>
      </c>
      <c r="F19" s="21" t="n">
        <v>25790.12</v>
      </c>
      <c r="G19" s="21" t="n">
        <v>5020.15</v>
      </c>
      <c r="H19" s="21">
        <f>IF(COUNTA(E19:G19)=0,"",SUM(E19:G19))</f>
        <v/>
      </c>
      <c r="I19" s="21" t="n">
        <v>48403.22</v>
      </c>
      <c r="J19" s="21">
        <f>IF(OR(H19="",I19=""),"",I19-H19)</f>
        <v/>
      </c>
      <c r="K19" s="8" t="n">
        <v>13</v>
      </c>
      <c r="L19" s="8" t="inlineStr">
        <is>
          <t>Diferencia informativa: Registro usa retribuciones normalizadas + variables; nóminas usa Total Devengado real de los PDFs aportados.</t>
        </is>
      </c>
      <c r="M19" s="8" t="inlineStr">
        <is>
          <t>PDF_ABRIL.pdf p.54 (Del 1 al 30 Abril 2025); PDF_AGOSTO.pdf p.52 (Del 1 al 31 Agosto 2025); PDF_DICIEMBRE.pdf p.51 (Del 1 al 31 Diciembre 2025); PDF_ENERO.pdf p.54 (Del 1 al 31 Enero 2025); PDF_FEBRERO.pdf p.54 (Del 1 al 28 Febrero 2025); PDF_JULIO.pdf p.53 (Del 1 al 31 Julio 2025); PDF_JUNIO.pdf p.52 (Del 1 al 30 Junio 2025); PDF_MARZO.pdf p.54 (Del 1 al 31 Marzo 2025); ... (+5 más)</t>
        </is>
      </c>
    </row>
    <row r="20" ht="62" customHeight="1">
      <c r="A20" s="23" t="inlineStr">
        <is>
          <t>Comparado</t>
        </is>
      </c>
      <c r="B20" s="8" t="inlineStr">
        <is>
          <t>50322510M</t>
        </is>
      </c>
      <c r="C20" s="8" t="inlineStr">
        <is>
          <t>10367</t>
        </is>
      </c>
      <c r="D20" s="8" t="inlineStr">
        <is>
          <t>BEATRIZ MARTINEZ SERNA</t>
        </is>
      </c>
      <c r="E20" s="21" t="n">
        <v>20533.74</v>
      </c>
      <c r="F20" s="21" t="n">
        <v>20186.08</v>
      </c>
      <c r="G20" s="21" t="n">
        <v>4441.15</v>
      </c>
      <c r="H20" s="21">
        <f>IF(COUNTA(E20:G20)=0,"",SUM(E20:G20))</f>
        <v/>
      </c>
      <c r="I20" s="21" t="n">
        <v>42119.26</v>
      </c>
      <c r="J20" s="21">
        <f>IF(OR(H20="",I20=""),"",I20-H20)</f>
        <v/>
      </c>
      <c r="K20" s="8" t="n">
        <v>13</v>
      </c>
      <c r="L20" s="8" t="inlineStr">
        <is>
          <t>Diferencia informativa: Registro usa retribuciones normalizadas + variables; nóminas usa Total Devengado real de los PDFs aportados.</t>
        </is>
      </c>
      <c r="M20" s="8" t="inlineStr">
        <is>
          <t>PDF_ABRIL.pdf p.53 (Del 1 al 30 Abril 2025); PDF_AGOSTO.pdf p.51 (Del 1 al 31 Agosto 2025); PDF_DICIEMBRE.pdf p.50 (Del 1 al 31 Diciembre 2025); PDF_ENERO.pdf p.53 (Del 1 al 31 Enero 2025); PDF_FEBRERO.pdf p.53 (Del 1 al 28 Febrero 2025); PDF_FEBRERO_VARIABLE.pdf p.31 (Del 1 al 28 Febrero 2025); PDF_JULIO.pdf p.52 (Del 1 al 31 Julio 2025); PDF_JUNIO.pdf p.51 (Del 1 al 30 Junio 2025); ... (+5 más)</t>
        </is>
      </c>
    </row>
    <row r="21" ht="62" customHeight="1">
      <c r="A21" s="23" t="inlineStr">
        <is>
          <t>Comparado</t>
        </is>
      </c>
      <c r="B21" s="8" t="inlineStr">
        <is>
          <t>50833944B</t>
        </is>
      </c>
      <c r="C21" s="8" t="inlineStr">
        <is>
          <t>10465</t>
        </is>
      </c>
      <c r="D21" s="8" t="inlineStr">
        <is>
          <t>BERTA SANGUINO ROBLEDO</t>
        </is>
      </c>
      <c r="E21" s="21" t="n">
        <v>25807.08</v>
      </c>
      <c r="F21" s="21" t="n">
        <v>93449.60000000001</v>
      </c>
      <c r="G21" s="21" t="n">
        <v>8430.32</v>
      </c>
      <c r="H21" s="21">
        <f>IF(COUNTA(E21:G21)=0,"",SUM(E21:G21))</f>
        <v/>
      </c>
      <c r="I21" s="21" t="n">
        <v>120446.54</v>
      </c>
      <c r="J21" s="21">
        <f>IF(OR(H21="",I21=""),"",I21-H21)</f>
        <v/>
      </c>
      <c r="K21" s="8" t="n">
        <v>14</v>
      </c>
      <c r="L21" s="8" t="inlineStr">
        <is>
          <t>Diferencia informativa: Registro usa retribuciones normalizadas + variables; nóminas usa Total Devengado real de los PDFs aportados.</t>
        </is>
      </c>
      <c r="M21" s="8" t="inlineStr">
        <is>
          <t>PDF_ABRIL.pdf p.62 (Del 1 al 30 Abril 2025); PDF_AGOSTO.pdf p.60 (Del 1 al 31 Agosto 2025); PDF_DICIEMBRE.pdf p.59 (Del 1 al 31 Diciembre 2025); PDF_ENERO.pdf p.62 (Del 1 al 31 Enero 2025); PDF_FEBRERO.pdf p.62 (Del 1 al 28 Febrero 2025); PDF_JULIO.pdf p.61 (Del 1 al 31 Julio 2025); PDF_JUNIO.pdf p.60 (Del 1 al 30 Junio 2025); PDF_MARZO.pdf p.62 (Del 1 al 31 Marzo 2025); ... (+6 más)</t>
        </is>
      </c>
    </row>
    <row r="22" ht="62" customHeight="1">
      <c r="A22" s="23" t="inlineStr">
        <is>
          <t>Comparado</t>
        </is>
      </c>
      <c r="B22" s="8" t="inlineStr">
        <is>
          <t>70872532X</t>
        </is>
      </c>
      <c r="C22" s="8" t="inlineStr">
        <is>
          <t>10469</t>
        </is>
      </c>
      <c r="D22" s="8" t="inlineStr">
        <is>
          <t>BORJA FLORÍN OTADUY</t>
        </is>
      </c>
      <c r="E22" s="21" t="n">
        <v>17206.14</v>
      </c>
      <c r="F22" s="21" t="n">
        <v>34911.68</v>
      </c>
      <c r="G22" s="21" t="n">
        <v>5018.4</v>
      </c>
      <c r="H22" s="21">
        <f>IF(COUNTA(E22:G22)=0,"",SUM(E22:G22))</f>
        <v/>
      </c>
      <c r="I22" s="21" t="n">
        <v>54742.45</v>
      </c>
      <c r="J22" s="21">
        <f>IF(OR(H22="",I22=""),"",I22-H22)</f>
        <v/>
      </c>
      <c r="K22" s="8" t="n">
        <v>16</v>
      </c>
      <c r="L22" s="8" t="inlineStr">
        <is>
          <t>Diferencia informativa: Registro usa retribuciones normalizadas + variables; nóminas usa Total Devengado real de los PDFs aportados.</t>
        </is>
      </c>
      <c r="M22" s="8" t="inlineStr">
        <is>
          <t>PDF_ABRIL.pdf p.65 (Del 1 al 30 Abril 2025); PDF_AGOSTO.pdf p.63 (Del 1 al 31 Agosto 2025); PDF_DICIEMBRE.pdf p.62 (Del 1 al 31 Diciembre 2025); PDF_ENERO.pdf p.65 (Del 1 al 31 Enero 2025); PDF_FEBRERO.pdf p.65 (Del 1 al 28 Febrero 2025); PDF_JULIO.pdf p.64 (Del 1 al 31 Julio 2025); PDF_JULIO_23_06.pdf p.4 (Del 1 al 31 Julio 2025); PDF_JULIO_24_06.pdf p.4 (Del 1 al 31 Julio 2025); ... (+8 más)</t>
        </is>
      </c>
    </row>
    <row r="23" ht="62" customHeight="1">
      <c r="A23" s="23" t="inlineStr">
        <is>
          <t>Comparado</t>
        </is>
      </c>
      <c r="B23" s="8" t="inlineStr">
        <is>
          <t>09281301L</t>
        </is>
      </c>
      <c r="C23" s="8" t="inlineStr">
        <is>
          <t>10083</t>
        </is>
      </c>
      <c r="D23" s="8" t="inlineStr">
        <is>
          <t>CESAR APARICIO GANDULLO</t>
        </is>
      </c>
      <c r="E23" s="21" t="n">
        <v>28714.83</v>
      </c>
      <c r="F23" s="21" t="n">
        <v>28453.88</v>
      </c>
      <c r="G23" s="21" t="n">
        <v>6546.98</v>
      </c>
      <c r="H23" s="21">
        <f>IF(COUNTA(E23:G23)=0,"",SUM(E23:G23))</f>
        <v/>
      </c>
      <c r="I23" s="21" t="n">
        <v>64677.12</v>
      </c>
      <c r="J23" s="21">
        <f>IF(OR(H23="",I23=""),"",I23-H23)</f>
        <v/>
      </c>
      <c r="K23" s="8" t="n">
        <v>15</v>
      </c>
      <c r="L23" s="8" t="inlineStr">
        <is>
          <t>Diferencia informativa: Registro usa retribuciones normalizadas + variables; nóminas usa Total Devengado real de los PDFs aportados.</t>
        </is>
      </c>
      <c r="M23" s="8" t="inlineStr">
        <is>
          <t>PDF_ABRIL.pdf p.7 (Del 1 al 30 Abril 2025); PDF_AGOSTO.pdf p.6 (Del 1 al 31 Agosto 2025); PDF_DICIEMBRE.pdf p.6 (Del 1 al 31 Diciembre 2025); PDF_ENERO.pdf p.7 (Del 1 al 31 Enero 2025); PDF_FEBRERO.pdf p.7 (Del 1 al 28 Febrero 2025); PDF_JULIO.pdf p.6 (Del 1 al 31 Julio 2025); PDF_JUNIO.pdf p.6 (Del 1 al 30 Junio 2025); PDF_JUN_23_06.pdf p.1 (Del 1 al 30 Junio 2025); ... (+7 más)</t>
        </is>
      </c>
    </row>
    <row r="24" ht="62" customHeight="1">
      <c r="A24" s="23" t="inlineStr">
        <is>
          <t>Comparado</t>
        </is>
      </c>
      <c r="B24" s="8" t="inlineStr">
        <is>
          <t>51941116D</t>
        </is>
      </c>
      <c r="C24" s="8" t="inlineStr">
        <is>
          <t>10260</t>
        </is>
      </c>
      <c r="D24" s="8" t="inlineStr">
        <is>
          <t>CRISTINA SANTURDE DIEZ</t>
        </is>
      </c>
      <c r="E24" s="21" t="n">
        <v>20875.56</v>
      </c>
      <c r="F24" s="21" t="n">
        <v>13724.44</v>
      </c>
      <c r="G24" s="21" t="n">
        <v>3468.39</v>
      </c>
      <c r="H24" s="21">
        <f>IF(COUNTA(E24:G24)=0,"",SUM(E24:G24))</f>
        <v/>
      </c>
      <c r="I24" s="21" t="n">
        <v>34910.16</v>
      </c>
      <c r="J24" s="21">
        <f>IF(OR(H24="",I24=""),"",I24-H24)</f>
        <v/>
      </c>
      <c r="K24" s="8" t="n">
        <v>14</v>
      </c>
      <c r="L24" s="8" t="inlineStr">
        <is>
          <t>Diferencia informativa: Registro usa retribuciones normalizadas + variables; nóminas usa Total Devengado real de los PDFs aportados.</t>
        </is>
      </c>
      <c r="M24" s="8" t="inlineStr">
        <is>
          <t>PDF_ABRIL.pdf p.23 (Del 1 al 30 Abril 2025); PDF_AGOSTO.pdf p.22 (Del 1 al 31 Agosto 2025); PDF_DICIEMBRE.pdf p.21 (Del 1 al 31 Diciembre 2025); PDF_ENERO.pdf p.23 (Del 1 al 31 Enero 2025); PDF_FEBRERO.pdf p.23 (Del 1 al 28 Febrero 2025); PDF_JULIO.pdf p.22 (Del 1 al 31 Julio 2025); PDF_JUNIO.pdf p.22 (Del 1 al 30 Junio 2025); PDF_MARZO.pdf p.23 (Del 1 al 31 Marzo 2025); ... (+6 más)</t>
        </is>
      </c>
    </row>
    <row r="25" ht="62" customHeight="1">
      <c r="A25" s="23" t="inlineStr">
        <is>
          <t>Comparado</t>
        </is>
      </c>
      <c r="B25" s="8" t="inlineStr">
        <is>
          <t>49019091L</t>
        </is>
      </c>
      <c r="C25" s="8" t="inlineStr">
        <is>
          <t>10335</t>
        </is>
      </c>
      <c r="D25" s="8" t="inlineStr">
        <is>
          <t>DANIEL GARRANZO GARCIA</t>
        </is>
      </c>
      <c r="E25" s="21" t="n">
        <v>20481.7</v>
      </c>
      <c r="F25" s="21" t="n">
        <v>13782.44</v>
      </c>
      <c r="G25" s="21" t="n">
        <v>4268.18</v>
      </c>
      <c r="H25" s="21">
        <f>IF(COUNTA(E25:G25)=0,"",SUM(E25:G25))</f>
        <v/>
      </c>
      <c r="I25" s="21" t="n">
        <v>36228.04</v>
      </c>
      <c r="J25" s="21">
        <f>IF(OR(H25="",I25=""),"",I25-H25)</f>
        <v/>
      </c>
      <c r="K25" s="8" t="n">
        <v>13</v>
      </c>
      <c r="L25" s="8" t="inlineStr">
        <is>
          <t>Diferencia informativa: Registro usa retribuciones normalizadas + variables; nóminas usa Total Devengado real de los PDFs aportados.</t>
        </is>
      </c>
      <c r="M25" s="8" t="inlineStr">
        <is>
          <t>PDF_ABRIL.pdf p.42 (Del 1 al 30 Abril 2025); PDF_AGOSTO.pdf p.41 (Del 1 al 31 Agosto 2025); PDF_DICIEMBRE.pdf p.40 (Del 1 al 31 Diciembre 2025); PDF_ENERO.pdf p.42 (Del 1 al 31 Enero 2025); PDF_FEBRERO.pdf p.42 (Del 1 al 28 Febrero 2025); PDF_FEBRERO_VARIABLE.pdf p.26 (Del 1 al 28 Febrero 2025); PDF_JULIO.pdf p.41 (Del 1 al 31 Julio 2025); PDF_JUNIO.pdf p.41 (Del 1 al 30 Junio 2025); ... (+5 más)</t>
        </is>
      </c>
    </row>
    <row r="26" ht="62" customHeight="1">
      <c r="A26" s="23" t="inlineStr">
        <is>
          <t>Comparado</t>
        </is>
      </c>
      <c r="B26" s="8" t="inlineStr">
        <is>
          <t>02906993T</t>
        </is>
      </c>
      <c r="C26" s="8" t="inlineStr">
        <is>
          <t>10350</t>
        </is>
      </c>
      <c r="D26" s="8" t="inlineStr">
        <is>
          <t>DAVID ARROYO PORTILLO</t>
        </is>
      </c>
      <c r="E26" s="21" t="n">
        <v>23063.34</v>
      </c>
      <c r="F26" s="21" t="n">
        <v>40461.36</v>
      </c>
      <c r="G26" s="21" t="n">
        <v>5199.13</v>
      </c>
      <c r="H26" s="21">
        <f>IF(COUNTA(E26:G26)=0,"",SUM(E26:G26))</f>
        <v/>
      </c>
      <c r="I26" s="21" t="n">
        <v>66013.47</v>
      </c>
      <c r="J26" s="21">
        <f>IF(OR(H26="",I26=""),"",I26-H26)</f>
        <v/>
      </c>
      <c r="K26" s="8" t="n">
        <v>14</v>
      </c>
      <c r="L26" s="8" t="inlineStr">
        <is>
          <t>Diferencia informativa: Registro usa retribuciones normalizadas + variables; nóminas usa Total Devengado real de los PDFs aportados.</t>
        </is>
      </c>
      <c r="M26" s="8" t="inlineStr">
        <is>
          <t>PDF_ABRIL.pdf p.47 (Del 1 al 30 Abril 2025); PDF_AGOSTO.pdf p.45 (Del 1 al 31 Agosto 2025); PDF_DICIEMBRE.pdf p.44 (Del 1 al 31 Diciembre 2025); PDF_ENERO.pdf p.47 (Del 1 al 31 Enero 2025); PDF_FEBRERO.pdf p.47 (Del 1 al 28 Febrero 2025); PDF_JULIO.pdf p.46 (Del 1 al 31 Julio 2025); PDF_JUNIO.pdf p.45 (Del 1 al 30 Junio 2025); PDF_MARZO.pdf p.47 (Del 1 al 31 Marzo 2025); ... (+6 más)</t>
        </is>
      </c>
    </row>
    <row r="27" ht="62" customHeight="1">
      <c r="A27" s="23" t="inlineStr">
        <is>
          <t>Comparado</t>
        </is>
      </c>
      <c r="B27" s="8" t="inlineStr">
        <is>
          <t>53908555M</t>
        </is>
      </c>
      <c r="C27" s="8" t="inlineStr">
        <is>
          <t>10467</t>
        </is>
      </c>
      <c r="D27" s="8" t="inlineStr">
        <is>
          <t>DAVID FERNÁNDEZ LÓPEZ</t>
        </is>
      </c>
      <c r="E27" s="21" t="n">
        <v>19693.98</v>
      </c>
      <c r="F27" s="21" t="n">
        <v>6973.28</v>
      </c>
      <c r="G27" s="21" t="n">
        <v>3267.56</v>
      </c>
      <c r="H27" s="21">
        <f>IF(COUNTA(E27:G27)=0,"",SUM(E27:G27))</f>
        <v/>
      </c>
      <c r="I27" s="21" t="n">
        <v>25728.03</v>
      </c>
      <c r="J27" s="21">
        <f>IF(OR(H27="",I27=""),"",I27-H27)</f>
        <v/>
      </c>
      <c r="K27" s="8" t="n">
        <v>13</v>
      </c>
      <c r="L27" s="8" t="inlineStr">
        <is>
          <t>Diferencia informativa: Registro usa retribuciones normalizadas + variables; nóminas usa Total Devengado real de los PDFs aportados.</t>
        </is>
      </c>
      <c r="M27" s="8" t="inlineStr">
        <is>
          <t>PDF_ABRIL.pdf p.63 (Del 1 al 30 Abril 2025); PDF_AGOSTO.pdf p.61 (Del 1 al 31 Agosto 2025); PDF_DICIEMBRE.pdf p.60 (Del 1 al 31 Diciembre 2025); PDF_ENERO.pdf p.63 (Del 1 al 31 Enero 2025); PDF_FEBRERO.pdf p.63 (Del 1 al 28 Febrero 2025); PDF_FEBRERO_VARIABLE.pdf p.35 (Del 1 al 28 Febrero 2025); PDF_JULIO.pdf p.62 (Del 1 al 31 Julio 2025); PDF_JUNIO.pdf p.61 (Del 1 al 30 Junio 2025); ... (+5 más)</t>
        </is>
      </c>
    </row>
    <row r="28" ht="62" customHeight="1">
      <c r="A28" s="23" t="inlineStr">
        <is>
          <t>Comparado</t>
        </is>
      </c>
      <c r="B28" s="8" t="inlineStr">
        <is>
          <t>50201068A</t>
        </is>
      </c>
      <c r="C28" s="8" t="inlineStr">
        <is>
          <t>10361</t>
        </is>
      </c>
      <c r="D28" s="8" t="inlineStr">
        <is>
          <t>DAVID MARTINEZ CARRION</t>
        </is>
      </c>
      <c r="E28" s="21" t="n">
        <v>21993.67</v>
      </c>
      <c r="F28" s="21" t="n">
        <v>31655.94</v>
      </c>
      <c r="G28" s="21" t="n">
        <v>6561.73</v>
      </c>
      <c r="H28" s="21">
        <f>IF(COUNTA(E28:G28)=0,"",SUM(E28:G28))</f>
        <v/>
      </c>
      <c r="I28" s="21" t="n">
        <v>57544.92</v>
      </c>
      <c r="J28" s="21">
        <f>IF(OR(H28="",I28=""),"",I28-H28)</f>
        <v/>
      </c>
      <c r="K28" s="8" t="n">
        <v>13</v>
      </c>
      <c r="L28" s="8" t="inlineStr">
        <is>
          <t>Diferencia informativa: Registro usa retribuciones normalizadas + variables; nóminas usa Total Devengado real de los PDFs aportados.</t>
        </is>
      </c>
      <c r="M28" s="8" t="inlineStr">
        <is>
          <t>PDF_ABRIL.pdf p.52 (Del 1 al 30 Abril 2025); PDF_AGOSTO.pdf p.50 (Del 1 al 31 Agosto 2025); PDF_DICIEMBRE.pdf p.49 (Del 1 al 31 Diciembre 2025); PDF_ENERO.pdf p.52 (Del 1 al 31 Enero 2025); PDF_FEBRERO.pdf p.52 (Del 1 al 28 Febrero 2025); PDF_JULIO.pdf p.51 (Del 1 al 31 Julio 2025); PDF_JUNIO.pdf p.50 (Del 1 al 30 Junio 2025); PDF_MARZO.pdf p.52 (Del 1 al 31 Marzo 2025); ... (+5 más)</t>
        </is>
      </c>
    </row>
    <row r="29" ht="62" customHeight="1">
      <c r="A29" s="23" t="inlineStr">
        <is>
          <t>Comparado</t>
        </is>
      </c>
      <c r="B29" s="8" t="inlineStr">
        <is>
          <t>09087859F</t>
        </is>
      </c>
      <c r="C29" s="8" t="inlineStr">
        <is>
          <t>10487</t>
        </is>
      </c>
      <c r="D29" s="8" t="inlineStr">
        <is>
          <t>DIEGO DIAZ TITOS</t>
        </is>
      </c>
      <c r="E29" s="21" t="n">
        <v>18943.96</v>
      </c>
      <c r="F29" s="21" t="n">
        <v>4306.04</v>
      </c>
      <c r="G29" s="21" t="n">
        <v>1883.67</v>
      </c>
      <c r="H29" s="21">
        <f>IF(COUNTA(E29:G29)=0,"",SUM(E29:G29))</f>
        <v/>
      </c>
      <c r="I29" s="21" t="n">
        <v>1833.37</v>
      </c>
      <c r="J29" s="21">
        <f>IF(OR(H29="",I29=""),"",I29-H29)</f>
        <v/>
      </c>
      <c r="K29" s="8" t="n">
        <v>1</v>
      </c>
      <c r="L29" s="8" t="inlineStr">
        <is>
          <t>Diferencia informativa: Registro usa retribuciones normalizadas + variables; nóminas usa Total Devengado real de los PDFs aportados.</t>
        </is>
      </c>
      <c r="M29" s="8" t="inlineStr">
        <is>
          <t>PDF_DICIEMBRE.pdf p.70 (Del 1 al 31 Diciembre 2025)</t>
        </is>
      </c>
    </row>
    <row r="30" ht="62" customHeight="1">
      <c r="A30" s="23" t="inlineStr">
        <is>
          <t>Comparado</t>
        </is>
      </c>
      <c r="B30" s="8" t="inlineStr">
        <is>
          <t>18166782W</t>
        </is>
      </c>
      <c r="C30" s="8" t="inlineStr">
        <is>
          <t>10253</t>
        </is>
      </c>
      <c r="D30" s="8" t="inlineStr">
        <is>
          <t>EDUARDO CAJAL ARREGUI</t>
        </is>
      </c>
      <c r="E30" s="21" t="n">
        <v>22109.8</v>
      </c>
      <c r="F30" s="21" t="n">
        <v>14232.49</v>
      </c>
      <c r="G30" s="21" t="n">
        <v>4577.67</v>
      </c>
      <c r="H30" s="21">
        <f>IF(COUNTA(E30:G30)=0,"",SUM(E30:G30))</f>
        <v/>
      </c>
      <c r="I30" s="21" t="n">
        <v>39711.63</v>
      </c>
      <c r="J30" s="21">
        <f>IF(OR(H30="",I30=""),"",I30-H30)</f>
        <v/>
      </c>
      <c r="K30" s="8" t="n">
        <v>14</v>
      </c>
      <c r="L30" s="8" t="inlineStr">
        <is>
          <t>Diferencia informativa: Registro usa retribuciones normalizadas + variables; nóminas usa Total Devengado real de los PDFs aportados.</t>
        </is>
      </c>
      <c r="M30" s="8" t="inlineStr">
        <is>
          <t>PDF_ABRIL.pdf p.21 (Del 1 al 30 Abril 2025); PDF_AGOSTO.pdf p.20 (Del 1 al 31 Agosto 2025); PDF_DICIEMBRE.pdf p.19 (Del 1 al 31 Diciembre 2025); PDF_ENERO.pdf p.21 (Del 1 al 31 Enero 2025); PDF_FEBRERO.pdf p.21 (Del 1 al 28 Febrero 2025); PDF_FEBRERO_VARIABLE.pdf p.12 (Del 1 al 28 Febrero 2025); PDF_JULIO.pdf p.20 (Del 1 al 31 Julio 2025); PDF_JUNIO.pdf p.20 (Del 1 al 30 Junio 2025); ... (+6 más)</t>
        </is>
      </c>
    </row>
    <row r="31" ht="62" customHeight="1">
      <c r="A31" s="23" t="inlineStr">
        <is>
          <t>Comparado</t>
        </is>
      </c>
      <c r="B31" s="8" t="inlineStr">
        <is>
          <t>02909452K</t>
        </is>
      </c>
      <c r="C31" s="8" t="inlineStr">
        <is>
          <t>10289</t>
        </is>
      </c>
      <c r="D31" s="8" t="inlineStr">
        <is>
          <t>ELENA HEREDIA ROCHE</t>
        </is>
      </c>
      <c r="E31" s="21" t="n">
        <v>20678.56</v>
      </c>
      <c r="F31" s="21" t="n">
        <v>13062.92</v>
      </c>
      <c r="G31" s="21" t="n">
        <v>3931.96</v>
      </c>
      <c r="H31" s="21">
        <f>IF(COUNTA(E31:G31)=0,"",SUM(E31:G31))</f>
        <v/>
      </c>
      <c r="I31" s="21" t="n">
        <v>33627.7</v>
      </c>
      <c r="J31" s="21">
        <f>IF(OR(H31="",I31=""),"",I31-H31)</f>
        <v/>
      </c>
      <c r="K31" s="8" t="n">
        <v>13</v>
      </c>
      <c r="L31" s="8" t="inlineStr">
        <is>
          <t>Diferencia informativa: Registro usa retribuciones normalizadas + variables; nóminas usa Total Devengado real de los PDFs aportados.</t>
        </is>
      </c>
      <c r="M31" s="8" t="inlineStr">
        <is>
          <t>PDF_ABRIL.pdf p.30 (Del 1 al 30 Abril 2025); PDF_AGOSTO.pdf p.29 (Del 1 al 31 Agosto 2025); PDF_DICIEMBRE.pdf p.28 (Del 1 al 31 Diciembre 2025); PDF_ENERO.pdf p.30 (Del 1 al 31 Enero 2025); PDF_FEBRERO.pdf p.30 (Del 1 al 28 Febrero 2025); PDF_FEBRERO_VARIABLE.pdf p.19 (Del 1 al 28 Febrero 2025); PDF_JULIO.pdf p.29 (Del 1 al 31 Julio 2025); PDF_JUNIO.pdf p.29 (Del 1 al 30 Junio 2025); ... (+5 más)</t>
        </is>
      </c>
    </row>
    <row r="32" ht="62" customHeight="1">
      <c r="A32" s="23" t="inlineStr">
        <is>
          <t>Comparado</t>
        </is>
      </c>
      <c r="B32" s="8" t="inlineStr">
        <is>
          <t>22557271K</t>
        </is>
      </c>
      <c r="C32" s="8" t="inlineStr">
        <is>
          <t>10251</t>
        </is>
      </c>
      <c r="D32" s="8" t="inlineStr">
        <is>
          <t>ELVIRA MUÑOZ SANCHIS</t>
        </is>
      </c>
      <c r="E32" s="21" t="n">
        <v>17206.14</v>
      </c>
      <c r="F32" s="21" t="n">
        <v>15310.24</v>
      </c>
      <c r="G32" s="21" t="n">
        <v>4564.25</v>
      </c>
      <c r="H32" s="21">
        <f>IF(COUNTA(E32:G32)=0,"",SUM(E32:G32))</f>
        <v/>
      </c>
      <c r="I32" s="21" t="n">
        <v>36259.49</v>
      </c>
      <c r="J32" s="21">
        <f>IF(OR(H32="",I32=""),"",I32-H32)</f>
        <v/>
      </c>
      <c r="K32" s="8" t="n">
        <v>16</v>
      </c>
      <c r="L32" s="8" t="inlineStr">
        <is>
          <t>Diferencia informativa: Registro usa retribuciones normalizadas + variables; nóminas usa Total Devengado real de los PDFs aportados.</t>
        </is>
      </c>
      <c r="M32" s="8" t="inlineStr">
        <is>
          <t>PDF_ABRIL.pdf p.20 (Del 1 al 30 Abril 2025); PDF_AGOSTO.pdf p.19 (Del 1 al 31 Agosto 2025); PDF_DICIEMBRE.pdf p.18 (Del 1 al 31 Diciembre 2025); PDF_ENERO.pdf p.20 (Del 1 al 31 Enero 2025); PDF_FEBRERO.pdf p.20 (Del 1 al 28 Febrero 2025); PDF_FEBRERO_VARIABLE.pdf p.11 (Del 1 al 28 Febrero 2025); PDF_JULIO.pdf p.19 (Del 1 al 31 Julio 2025); PDF_JULIO_23_06.pdf p.1 (Del 1 al 31 Julio 2025); ... (+8 más)</t>
        </is>
      </c>
    </row>
    <row r="33" ht="62" customHeight="1">
      <c r="A33" s="23" t="inlineStr">
        <is>
          <t>Comparado</t>
        </is>
      </c>
      <c r="B33" s="8" t="inlineStr">
        <is>
          <t>80065371W</t>
        </is>
      </c>
      <c r="C33" s="8" t="inlineStr">
        <is>
          <t>10303</t>
        </is>
      </c>
      <c r="D33" s="8" t="inlineStr">
        <is>
          <t>EMILIO JOSE MATA TORRADO</t>
        </is>
      </c>
      <c r="E33" s="21" t="n">
        <v>20481.7</v>
      </c>
      <c r="F33" s="21" t="n">
        <v>14193.8</v>
      </c>
      <c r="G33" s="21" t="n">
        <v>4316.6</v>
      </c>
      <c r="H33" s="21">
        <f>IF(COUNTA(E33:G33)=0,"",SUM(E33:G33))</f>
        <v/>
      </c>
      <c r="I33" s="21" t="n">
        <v>36071.6</v>
      </c>
      <c r="J33" s="21">
        <f>IF(OR(H33="",I33=""),"",I33-H33)</f>
        <v/>
      </c>
      <c r="K33" s="8" t="n">
        <v>13</v>
      </c>
      <c r="L33" s="8" t="inlineStr">
        <is>
          <t>Diferencia informativa: Registro usa retribuciones normalizadas + variables; nóminas usa Total Devengado real de los PDFs aportados.</t>
        </is>
      </c>
      <c r="M33" s="8" t="inlineStr">
        <is>
          <t>PDF_ABRIL.pdf p.35 (Del 1 al 30 Abril 2025); PDF_AGOSTO.pdf p.34 (Del 1 al 31 Agosto 2025); PDF_DICIEMBRE.pdf p.33 (Del 1 al 31 Diciembre 2025); PDF_ENERO.pdf p.35 (Del 1 al 31 Enero 2025); PDF_FEBRERO.pdf p.35 (Del 1 al 28 Febrero 2025); PDF_FEBRERO_VARIABLE.pdf p.22 (Del 1 al 28 Febrero 2025); PDF_JULIO.pdf p.34 (Del 1 al 31 Julio 2025); PDF_JUNIO.pdf p.34 (Del 1 al 30 Junio 2025); ... (+5 más)</t>
        </is>
      </c>
    </row>
    <row r="34" ht="62" customHeight="1">
      <c r="A34" s="23" t="inlineStr">
        <is>
          <t>Comparado</t>
        </is>
      </c>
      <c r="B34" s="8" t="inlineStr">
        <is>
          <t>05276296G</t>
        </is>
      </c>
      <c r="C34" s="8" t="inlineStr">
        <is>
          <t>10337</t>
        </is>
      </c>
      <c r="D34" s="8" t="inlineStr">
        <is>
          <t>ENRIQUE FERNANDEZ GOMEZ</t>
        </is>
      </c>
      <c r="E34" s="21" t="n">
        <v>23515.52</v>
      </c>
      <c r="F34" s="21" t="n">
        <v>38438.64</v>
      </c>
      <c r="G34" s="21" t="n">
        <v>4109.91</v>
      </c>
      <c r="H34" s="21">
        <f>IF(COUNTA(E34:G34)=0,"",SUM(E34:G34))</f>
        <v/>
      </c>
      <c r="I34" s="21" t="n">
        <v>61600.94</v>
      </c>
      <c r="J34" s="21">
        <f>IF(OR(H34="",I34=""),"",I34-H34)</f>
        <v/>
      </c>
      <c r="K34" s="8" t="n">
        <v>13</v>
      </c>
      <c r="L34" s="8" t="inlineStr">
        <is>
          <t>Diferencia informativa: Registro usa retribuciones normalizadas + variables; nóminas usa Total Devengado real de los PDFs aportados.</t>
        </is>
      </c>
      <c r="M34" s="8" t="inlineStr">
        <is>
          <t>PDF_ABRIL.pdf p.44 (Del 1 al 30 Abril 2025); PDF_AGOSTO.pdf p.42 (Del 1 al 31 Agosto 2025); PDF_DICIEMBRE.pdf p.41 (Del 1 al 31 Diciembre 2025); PDF_ENERO.pdf p.44 (Del 1 al 31 Enero 2025); PDF_FEBRERO.pdf p.44 (Del 1 al 28 Febrero 2025); PDF_JULIO.pdf p.43 (Del 1 al 31 Julio 2025); PDF_JUNIO.pdf p.42 (Del 1 al 30 Junio 2025); PDF_MARZO.pdf p.44 (Del 1 al 31 Marzo 2025); ... (+5 más)</t>
        </is>
      </c>
    </row>
    <row r="35" ht="62" customHeight="1">
      <c r="A35" s="23" t="inlineStr">
        <is>
          <t>Comparado</t>
        </is>
      </c>
      <c r="B35" s="8" t="inlineStr">
        <is>
          <t>09370959T</t>
        </is>
      </c>
      <c r="C35" s="8" t="inlineStr">
        <is>
          <t>10294</t>
        </is>
      </c>
      <c r="D35" s="8" t="inlineStr">
        <is>
          <t>FERNANDO FERNANDEZ GARCIA</t>
        </is>
      </c>
      <c r="E35" s="21" t="n">
        <v>20481.7</v>
      </c>
      <c r="F35" s="21" t="n">
        <v>13849.16</v>
      </c>
      <c r="G35" s="21" t="n">
        <v>4054.9</v>
      </c>
      <c r="H35" s="21">
        <f>IF(COUNTA(E35:G35)=0,"",SUM(E35:G35))</f>
        <v/>
      </c>
      <c r="I35" s="21" t="n">
        <v>34134.83</v>
      </c>
      <c r="J35" s="21">
        <f>IF(OR(H35="",I35=""),"",I35-H35)</f>
        <v/>
      </c>
      <c r="K35" s="8" t="n">
        <v>14</v>
      </c>
      <c r="L35" s="8" t="inlineStr">
        <is>
          <t>Diferencia informativa: Registro usa retribuciones normalizadas + variables; nóminas usa Total Devengado real de los PDFs aportados.</t>
        </is>
      </c>
      <c r="M35" s="8" t="inlineStr">
        <is>
          <t>PDF_ABRIL.pdf p.33 (Del 1 al 30 Abril 2025); PDF_AGOSTO.pdf p.32 (Del 1 al 31 Agosto 2025); PDF_DICIEMBRE.pdf p.31 (Del 1 al 31 Diciembre 2025); PDF_ENERO.pdf p.33 (Del 1 al 31 Enero 2025); PDF_FEBRERO.pdf p.33 (Del 1 al 28 Febrero 2025); PDF_FEBRERO_VARIABLE.pdf p.21 (Del 1 al 28 Febrero 2025); PDF_JULIO.pdf p.32 (Del 1 al 31 Julio 2025); PDF_JUNIO.pdf p.32 (Del 1 al 30 Junio 2025); ... (+6 más)</t>
        </is>
      </c>
    </row>
    <row r="36" ht="62" customHeight="1">
      <c r="A36" s="23" t="inlineStr">
        <is>
          <t>Comparado</t>
        </is>
      </c>
      <c r="B36" s="8" t="inlineStr">
        <is>
          <t>17473729P</t>
        </is>
      </c>
      <c r="C36" s="8" t="inlineStr">
        <is>
          <t>10472</t>
        </is>
      </c>
      <c r="D36" s="8" t="inlineStr">
        <is>
          <t>FERNANDO MANUEL GONZALEZ DE AGUILAR GASTON</t>
        </is>
      </c>
      <c r="E36" s="21" t="n">
        <v>19444.98</v>
      </c>
      <c r="F36" s="21" t="n">
        <v>17648.22</v>
      </c>
      <c r="G36" s="21" t="n">
        <v>5524.95</v>
      </c>
      <c r="H36" s="21">
        <f>IF(COUNTA(E36:G36)=0,"",SUM(E36:G36))</f>
        <v/>
      </c>
      <c r="I36" s="21" t="n">
        <v>34278.94</v>
      </c>
      <c r="J36" s="21">
        <f>IF(OR(H36="",I36=""),"",I36-H36)</f>
        <v/>
      </c>
      <c r="K36" s="8" t="n">
        <v>13</v>
      </c>
      <c r="L36" s="8" t="inlineStr">
        <is>
          <t>Diferencia informativa: Registro usa retribuciones normalizadas + variables; nóminas usa Total Devengado real de los PDFs aportados.</t>
        </is>
      </c>
      <c r="M36" s="8" t="inlineStr">
        <is>
          <t>PDF_ABRIL.pdf p.66 (Del 1 al 30 Abril 2025); PDF_AGOSTO.pdf p.64 (Del 1 al 31 Agosto 2025); PDF_DICIEMBRE.pdf p.63 (Del 1 al 31 Diciembre 2025); PDF_ENERO.pdf p.66 (Del 1 al 31 Enero 2025); PDF_FEBRERO.pdf p.66 (Del 1 al 28 Febrero 2025); PDF_JULIO.pdf p.65 (Del 1 al 31 Julio 2025); PDF_JUNIO.pdf p.64 (Del 1 al 30 Junio 2025); PDF_MARZO.pdf p.66 (Del 1 al 31 Marzo 2025); ... (+5 más)</t>
        </is>
      </c>
    </row>
    <row r="37" ht="62" customHeight="1">
      <c r="A37" s="23" t="inlineStr">
        <is>
          <t>Comparado</t>
        </is>
      </c>
      <c r="B37" s="8" t="inlineStr">
        <is>
          <t>09127694Y</t>
        </is>
      </c>
      <c r="C37" s="8" t="inlineStr">
        <is>
          <t>10316</t>
        </is>
      </c>
      <c r="D37" s="8" t="inlineStr">
        <is>
          <t>FLOR MARIA VALLE DOMINGUEZ</t>
        </is>
      </c>
      <c r="E37" s="21" t="n">
        <v>20481.7</v>
      </c>
      <c r="F37" s="21" t="n">
        <v>9083.360000000001</v>
      </c>
      <c r="G37" s="21" t="n">
        <v>4085.72</v>
      </c>
      <c r="H37" s="21">
        <f>IF(COUNTA(E37:G37)=0,"",SUM(E37:G37))</f>
        <v/>
      </c>
      <c r="I37" s="21" t="n">
        <v>30838.03</v>
      </c>
      <c r="J37" s="21">
        <f>IF(OR(H37="",I37=""),"",I37-H37)</f>
        <v/>
      </c>
      <c r="K37" s="8" t="n">
        <v>13</v>
      </c>
      <c r="L37" s="8" t="inlineStr">
        <is>
          <t>Diferencia informativa: Registro usa retribuciones normalizadas + variables; nóminas usa Total Devengado real de los PDFs aportados.</t>
        </is>
      </c>
      <c r="M37" s="8" t="inlineStr">
        <is>
          <t>PDF_ABRIL.pdf p.37 (Del 1 al 30 Abril 2025); PDF_AGOSTO.pdf p.36 (Del 1 al 31 Agosto 2025); PDF_DICIEMBRE.pdf p.35 (Del 1 al 31 Diciembre 2025); PDF_ENERO.pdf p.37 (Del 1 al 31 Enero 2025); PDF_FEBRERO.pdf p.37 (Del 1 al 28 Febrero 2025); PDF_FEBRERO_VARIABLE.pdf p.23 (Del 1 al 28 Febrero 2025); PDF_JULIO.pdf p.36 (Del 1 al 31 Julio 2025); PDF_JUNIO.pdf p.36 (Del 1 al 30 Junio 2025); ... (+5 más)</t>
        </is>
      </c>
    </row>
    <row r="38" ht="62" customHeight="1">
      <c r="A38" s="23" t="inlineStr">
        <is>
          <t>Comparado</t>
        </is>
      </c>
      <c r="B38" s="8" t="inlineStr">
        <is>
          <t>17442075W</t>
        </is>
      </c>
      <c r="C38" s="8" t="inlineStr">
        <is>
          <t>10332</t>
        </is>
      </c>
      <c r="D38" s="8" t="inlineStr">
        <is>
          <t>FRANCISCO JAVIER BURRIEL MARTINEZ</t>
        </is>
      </c>
      <c r="E38" s="21" t="n">
        <v>22728.8</v>
      </c>
      <c r="F38" s="21" t="n">
        <v>28688.85</v>
      </c>
      <c r="G38" s="21" t="n">
        <v>6921.52</v>
      </c>
      <c r="H38" s="21">
        <f>IF(COUNTA(E38:G38)=0,"",SUM(E38:G38))</f>
        <v/>
      </c>
      <c r="I38" s="21" t="n">
        <v>48275.58</v>
      </c>
      <c r="J38" s="21">
        <f>IF(OR(H38="",I38=""),"",I38-H38)</f>
        <v/>
      </c>
      <c r="K38" s="8" t="n">
        <v>15</v>
      </c>
      <c r="L38" s="8" t="inlineStr">
        <is>
          <t>Diferencia informativa: Registro usa retribuciones normalizadas + variables; nóminas usa Total Devengado real de los PDFs aportados.</t>
        </is>
      </c>
      <c r="M38" s="8" t="inlineStr">
        <is>
          <t>PDF_ABRIL.pdf p.41 (Del 1 al 30 Abril 2025); PDF_AGOSTO.pdf p.40 (Del 1 al 31 Agosto 2025); PDF_DICIEMBRE.pdf p.39 (Del 1 al 31 Diciembre 2025); PDF_ENERO.pdf p.41 (Del 1 al 31 Enero 2025); PDF_FEBRERO.pdf p.41 (Del 1 al 28 Febrero 2025); PDF_JULIO.pdf p.40 (Del 1 al 31 Julio 2025); PDF_JUNIO.pdf p.40 (Del 1 al 30 Junio 2025); PDF_JUNIO_22_06.pdf p.2 (Del 1 al 30 Junio 2025); ... (+7 más)</t>
        </is>
      </c>
    </row>
    <row r="39" ht="62" customHeight="1">
      <c r="A39" s="23" t="inlineStr">
        <is>
          <t>Comparado</t>
        </is>
      </c>
      <c r="B39" s="8" t="inlineStr">
        <is>
          <t>28472948Y</t>
        </is>
      </c>
      <c r="C39" s="8" t="inlineStr">
        <is>
          <t>10099</t>
        </is>
      </c>
      <c r="D39" s="8" t="inlineStr">
        <is>
          <t>FRANCISCO JAVIER NEVADO CARRASCOSA</t>
        </is>
      </c>
      <c r="E39" s="21" t="n">
        <v>23081.54</v>
      </c>
      <c r="F39" s="21" t="n">
        <v>30147.6</v>
      </c>
      <c r="G39" s="21" t="n">
        <v>9007.52</v>
      </c>
      <c r="H39" s="21">
        <f>IF(COUNTA(E39:G39)=0,"",SUM(E39:G39))</f>
        <v/>
      </c>
      <c r="I39" s="21" t="n">
        <v>58464.12</v>
      </c>
      <c r="J39" s="21">
        <f>IF(OR(H39="",I39=""),"",I39-H39)</f>
        <v/>
      </c>
      <c r="K39" s="8" t="n">
        <v>13</v>
      </c>
      <c r="L39" s="8" t="inlineStr">
        <is>
          <t>Diferencia informativa: Registro usa retribuciones normalizadas + variables; nóminas usa Total Devengado real de los PDFs aportados.</t>
        </is>
      </c>
      <c r="M39" s="8" t="inlineStr">
        <is>
          <t>PDF_ABRIL.pdf p.9 (Del 1 al 30 Abril 2025); PDF_AGOSTO.pdf p.8 (Del 1 al 31 Agosto 2025); PDF_DICIEMBRE.pdf p.8 (Del 1 al 31 Diciembre 2025); PDF_ENERO.pdf p.9 (Del 1 al 31 Enero 2025); PDF_FEBRERO.pdf p.9 (Del 1 al 28 Febrero 2025); PDF_JULIO.pdf p.8 (Del 1 al 31 Julio 2025); PDF_JUNIO.pdf p.8 (Del 1 al 30 Junio 2025); PDF_MARZO.pdf p.9 (Del 1 al 31 Marzo 2025); ... (+5 más)</t>
        </is>
      </c>
    </row>
    <row r="40" ht="62" customHeight="1">
      <c r="A40" s="23" t="inlineStr">
        <is>
          <t>Comparado</t>
        </is>
      </c>
      <c r="B40" s="8" t="inlineStr">
        <is>
          <t>48810854R</t>
        </is>
      </c>
      <c r="C40" s="8" t="inlineStr">
        <is>
          <t>10266</t>
        </is>
      </c>
      <c r="D40" s="8" t="inlineStr">
        <is>
          <t>FRANCISCO JOSE FERNANDEZ-ANDES VELA</t>
        </is>
      </c>
      <c r="E40" s="21" t="n">
        <v>21358.26</v>
      </c>
      <c r="F40" s="21" t="n">
        <v>14657.9</v>
      </c>
      <c r="G40" s="21" t="n">
        <v>5011.81</v>
      </c>
      <c r="H40" s="21">
        <f>IF(COUNTA(E40:G40)=0,"",SUM(E40:G40))</f>
        <v/>
      </c>
      <c r="I40" s="21" t="n">
        <v>37312.48</v>
      </c>
      <c r="J40" s="21">
        <f>IF(OR(H40="",I40=""),"",I40-H40)</f>
        <v/>
      </c>
      <c r="K40" s="8" t="n">
        <v>13</v>
      </c>
      <c r="L40" s="8" t="inlineStr">
        <is>
          <t>Diferencia informativa: Registro usa retribuciones normalizadas + variables; nóminas usa Total Devengado real de los PDFs aportados.</t>
        </is>
      </c>
      <c r="M40" s="8" t="inlineStr">
        <is>
          <t>PDF_ABRIL.pdf p.24 (Del 1 al 30 Abril 2025); PDF_AGOSTO.pdf p.23 (Del 1 al 31 Agosto 2025); PDF_DICIEMBRE.pdf p.22 (Del 1 al 31 Diciembre 2025); PDF_ENERO.pdf p.24 (Del 1 al 31 Enero 2025); PDF_FEBRERO.pdf p.24 (Del 1 al 28 Febrero 2025); PDF_FEBRERO_VARIABLE.pdf p.14 (Del 1 al 28 Febrero 2025); PDF_JULIO.pdf p.23 (Del 1 al 31 Julio 2025); PDF_JUNIO.pdf p.23 (Del 1 al 30 Junio 2025); ... (+5 más)</t>
        </is>
      </c>
    </row>
    <row r="41" ht="62" customHeight="1">
      <c r="A41" s="23" t="inlineStr">
        <is>
          <t>Comparado</t>
        </is>
      </c>
      <c r="B41" s="8" t="inlineStr">
        <is>
          <t>20091597Q</t>
        </is>
      </c>
      <c r="C41" s="8" t="inlineStr">
        <is>
          <t>10488</t>
        </is>
      </c>
      <c r="D41" s="8" t="inlineStr">
        <is>
          <t>FRANCISCO LA CASA RODRIGUEZ</t>
        </is>
      </c>
      <c r="E41" s="21" t="n">
        <v>18943.96</v>
      </c>
      <c r="F41" s="21" t="n">
        <v>4306.04</v>
      </c>
      <c r="G41" s="21" t="n">
        <v>1743.46</v>
      </c>
      <c r="H41" s="21">
        <f>IF(COUNTA(E41:G41)=0,"",SUM(E41:G41))</f>
        <v/>
      </c>
      <c r="I41" s="21" t="n">
        <v>794.36</v>
      </c>
      <c r="J41" s="21">
        <f>IF(OR(H41="",I41=""),"",I41-H41)</f>
        <v/>
      </c>
      <c r="K41" s="8" t="n">
        <v>1</v>
      </c>
      <c r="L41" s="8" t="inlineStr">
        <is>
          <t>Diferencia informativa: Registro usa retribuciones normalizadas + variables; nóminas usa Total Devengado real de los PDFs aportados.</t>
        </is>
      </c>
      <c r="M41" s="8" t="inlineStr">
        <is>
          <t>PDF_DICIEMBRE.pdf p.71 (Del 1 al 31 Diciembre 2025)</t>
        </is>
      </c>
    </row>
    <row r="42" ht="62" customHeight="1">
      <c r="A42" s="23" t="inlineStr">
        <is>
          <t>Comparado</t>
        </is>
      </c>
      <c r="B42" s="8" t="inlineStr">
        <is>
          <t>54367564A</t>
        </is>
      </c>
      <c r="C42" s="8" t="inlineStr">
        <is>
          <t>10478</t>
        </is>
      </c>
      <c r="D42" s="8" t="inlineStr">
        <is>
          <t>GABRIELA KENNY DE LAS HERAS</t>
        </is>
      </c>
      <c r="E42" s="21" t="n">
        <v>18943.96</v>
      </c>
      <c r="F42" s="21" t="n">
        <v>4501.88</v>
      </c>
      <c r="G42" s="21" t="n">
        <v>1883.67</v>
      </c>
      <c r="H42" s="21">
        <f>IF(COUNTA(E42:G42)=0,"",SUM(E42:G42))</f>
        <v/>
      </c>
      <c r="I42" s="21" t="n">
        <v>17700.01</v>
      </c>
      <c r="J42" s="21">
        <f>IF(OR(H42="",I42=""),"",I42-H42)</f>
        <v/>
      </c>
      <c r="K42" s="8" t="n">
        <v>10</v>
      </c>
      <c r="L42" s="8" t="inlineStr">
        <is>
          <t>Diferencia informativa: Registro usa retribuciones normalizadas + variables; nóminas usa Total Devengado real de los PDFs aportados.</t>
        </is>
      </c>
      <c r="M42" s="8" t="inlineStr">
        <is>
          <t>PDF_ABRIL.pdf p.71 (Del 1 al 30 Abril 2025); PDF_AGOSTO.pdf p.68 (Del 1 al 31 Agosto 2025); PDF_DICIEMBRE.pdf p.67 (Del 1 al 31 Diciembre 2025); PDF_JULIO.pdf p.69 (Del 1 al 31 Julio 2025); PDF_JUNIO.pdf p.68 (Del 1 al 30 Junio 2025); PDF_MARZO.pdf p.71 (Del 1 al 31 Marzo 2025); PDF_MAYO.pdf p.69 (Del 1 al 31 Mayo 2025); PDF_NOVIEMBRE.pdf p.67 (Del 1 al 30 Noviembre 2025); ... (+2 más)</t>
        </is>
      </c>
    </row>
    <row r="43" ht="62" customHeight="1">
      <c r="A43" s="23" t="inlineStr">
        <is>
          <t>Comparado</t>
        </is>
      </c>
      <c r="B43" s="8" t="inlineStr">
        <is>
          <t>50755340K</t>
        </is>
      </c>
      <c r="C43" s="8" t="inlineStr">
        <is>
          <t>10299</t>
        </is>
      </c>
      <c r="D43" s="8" t="inlineStr">
        <is>
          <t>GUSTAVO SOUSA BRASA</t>
        </is>
      </c>
      <c r="E43" s="21" t="n">
        <v>24954.5</v>
      </c>
      <c r="F43" s="21" t="n">
        <v>63282.44</v>
      </c>
      <c r="G43" s="21" t="n">
        <v>6170.12</v>
      </c>
      <c r="H43" s="21">
        <f>IF(COUNTA(E43:G43)=0,"",SUM(E43:G43))</f>
        <v/>
      </c>
      <c r="I43" s="21" t="n">
        <v>84002.49000000001</v>
      </c>
      <c r="J43" s="21">
        <f>IF(OR(H43="",I43=""),"",I43-H43)</f>
        <v/>
      </c>
      <c r="K43" s="8" t="n">
        <v>13</v>
      </c>
      <c r="L43" s="8" t="inlineStr">
        <is>
          <t>Diferencia informativa: Registro usa retribuciones normalizadas + variables; nóminas usa Total Devengado real de los PDFs aportados.</t>
        </is>
      </c>
      <c r="M43" s="8" t="inlineStr">
        <is>
          <t>PDF_ABRIL.pdf p.34 (Del 1 al 30 Abril 2025); PDF_AGOSTO.pdf p.33 (Del 1 al 31 Agosto 2025); PDF_DICIEMBRE.pdf p.32 (Del 1 al 31 Diciembre 2025); PDF_ENERO.pdf p.34 (Del 1 al 31 Enero 2025); PDF_FEBRERO.pdf p.34 (Del 1 al 28 Febrero 2025); PDF_JULIO.pdf p.33 (Del 1 al 31 Julio 2025); PDF_JUNIO.pdf p.33 (Del 1 al 30 Junio 2025); PDF_MARZO.pdf p.34 (Del 1 al 31 Marzo 2025); ... (+5 más)</t>
        </is>
      </c>
    </row>
    <row r="44" ht="62" customHeight="1">
      <c r="A44" s="23" t="inlineStr">
        <is>
          <t>Comparado</t>
        </is>
      </c>
      <c r="B44" s="8" t="inlineStr">
        <is>
          <t>72846200W</t>
        </is>
      </c>
      <c r="C44" s="8" t="inlineStr">
        <is>
          <t>10456</t>
        </is>
      </c>
      <c r="D44" s="8" t="inlineStr">
        <is>
          <t>IMANOL ETXEBARRIA OLABARRIA</t>
        </is>
      </c>
      <c r="E44" s="21" t="n">
        <v>22837.99</v>
      </c>
      <c r="F44" s="21" t="n">
        <v>15455.04</v>
      </c>
      <c r="G44" s="21" t="n">
        <v>5150.46</v>
      </c>
      <c r="H44" s="21">
        <f>IF(COUNTA(E44:G44)=0,"",SUM(E44:G44))</f>
        <v/>
      </c>
      <c r="I44" s="21" t="n">
        <v>40675.57</v>
      </c>
      <c r="J44" s="21">
        <f>IF(OR(H44="",I44=""),"",I44-H44)</f>
        <v/>
      </c>
      <c r="K44" s="8" t="n">
        <v>13</v>
      </c>
      <c r="L44" s="8" t="inlineStr">
        <is>
          <t>Diferencia informativa: Registro usa retribuciones normalizadas + variables; nóminas usa Total Devengado real de los PDFs aportados.</t>
        </is>
      </c>
      <c r="M44" s="8" t="inlineStr">
        <is>
          <t>PDF_ABRIL.pdf p.58 (Del 1 al 30 Abril 2025); PDF_AGOSTO.pdf p.56 (Del 1 al 31 Agosto 2025); PDF_DICIEMBRE.pdf p.55 (Del 1 al 31 Diciembre 2025); PDF_ENERO.pdf p.58 (Del 1 al 31 Enero 2025); PDF_FEBRERO.pdf p.58 (Del 1 al 28 Febrero 2025); PDF_JULIO.pdf p.57 (Del 1 al 31 Julio 2025); PDF_JUNIO.pdf p.56 (Del 1 al 30 Junio 2025); PDF_MARZO.pdf p.58 (Del 1 al 31 Marzo 2025); ... (+5 más)</t>
        </is>
      </c>
    </row>
    <row r="45" ht="62" customHeight="1">
      <c r="A45" s="23" t="inlineStr">
        <is>
          <t>Comparado</t>
        </is>
      </c>
      <c r="B45" s="8" t="inlineStr">
        <is>
          <t>00397416E</t>
        </is>
      </c>
      <c r="C45" s="8" t="inlineStr">
        <is>
          <t>10048</t>
        </is>
      </c>
      <c r="D45" s="8" t="inlineStr">
        <is>
          <t>ISABEL CHAVERO TORRADO</t>
        </is>
      </c>
      <c r="E45" s="21" t="n">
        <v>29090.73</v>
      </c>
      <c r="F45" s="21" t="n">
        <v>29336.69</v>
      </c>
      <c r="G45" s="21" t="n">
        <v>4882.46</v>
      </c>
      <c r="H45" s="21">
        <f>IF(COUNTA(E45:G45)=0,"",SUM(E45:G45))</f>
        <v/>
      </c>
      <c r="I45" s="21" t="n">
        <v>60148</v>
      </c>
      <c r="J45" s="21">
        <f>IF(OR(H45="",I45=""),"",I45-H45)</f>
        <v/>
      </c>
      <c r="K45" s="8" t="n">
        <v>13</v>
      </c>
      <c r="L45" s="8" t="inlineStr">
        <is>
          <t>Diferencia informativa: Registro usa retribuciones normalizadas + variables; nóminas usa Total Devengado real de los PDFs aportados.</t>
        </is>
      </c>
      <c r="M45" s="8" t="inlineStr">
        <is>
          <t>PDF_ABRIL.pdf p.1 (Del 1 al 30 Abril 2025); PDF_AGOSTO.pdf p.1 (Del 1 al 31 Agosto 2025); PDF_DICIEMBRE.pdf p.1 (Del 1 al 31 Diciembre 2025); PDF_ENERO.pdf p.1 (Del 1 al 31 Enero 2025); PDF_FEBRERO.pdf p.1 (Del 1 al 28 Febrero 2025); PDF_JULIO.pdf p.1 (Del 1 al 31 Julio 2025); PDF_JUNIO.pdf p.1 (Del 1 al 30 Junio 2025); PDF_MARZO.pdf p.1 (Del 1 al 31 Marzo 2025); ... (+5 más)</t>
        </is>
      </c>
    </row>
    <row r="46" ht="62" customHeight="1">
      <c r="A46" s="23" t="inlineStr">
        <is>
          <t>Comparado</t>
        </is>
      </c>
      <c r="B46" s="8" t="inlineStr">
        <is>
          <t>30560257L</t>
        </is>
      </c>
      <c r="C46" s="8" t="inlineStr">
        <is>
          <t>10050</t>
        </is>
      </c>
      <c r="D46" s="8" t="inlineStr">
        <is>
          <t>JOSE ANGEL RUIZ HURTADO</t>
        </is>
      </c>
      <c r="E46" s="21" t="n">
        <v>25325.27</v>
      </c>
      <c r="F46" s="21" t="n">
        <v>14343.95</v>
      </c>
      <c r="G46" s="21" t="n">
        <v>4940.1</v>
      </c>
      <c r="H46" s="21">
        <f>IF(COUNTA(E46:G46)=0,"",SUM(E46:G46))</f>
        <v/>
      </c>
      <c r="I46" s="21" t="n">
        <v>41822.98</v>
      </c>
      <c r="J46" s="21">
        <f>IF(OR(H46="",I46=""),"",I46-H46)</f>
        <v/>
      </c>
      <c r="K46" s="8" t="n">
        <v>13</v>
      </c>
      <c r="L46" s="8" t="inlineStr">
        <is>
          <t>Diferencia informativa: Registro usa retribuciones normalizadas + variables; nóminas usa Total Devengado real de los PDFs aportados.</t>
        </is>
      </c>
      <c r="M46" s="8" t="inlineStr">
        <is>
          <t>PDF_ABRIL.pdf p.2 (Del 1 al 30 Abril 2025); PDF_AGOSTO.pdf p.2 (Del 1 al 31 Agosto 2025); PDF_DICIEMBRE.pdf p.2 (Del 1 al 31 Diciembre 2025); PDF_ENERO.pdf p.2 (Del 1 al 31 Enero 2025); PDF_FEBRERO.pdf p.2 (Del 1 al 28 Febrero 2025); PDF_FEBRERO_VARIABLE.pdf p.1 (Del 1 al 28 Febrero 2025); PDF_JULIO.pdf p.2 (Del 1 al 31 Julio 2025); PDF_JUNIO.pdf p.2 (Del 1 al 30 Junio 2025); ... (+5 más)</t>
        </is>
      </c>
    </row>
    <row r="47" ht="62" customHeight="1">
      <c r="A47" s="23" t="inlineStr">
        <is>
          <t>Comparado</t>
        </is>
      </c>
      <c r="B47" s="8" t="inlineStr">
        <is>
          <t>02534490M</t>
        </is>
      </c>
      <c r="C47" s="8" t="inlineStr">
        <is>
          <t>10269</t>
        </is>
      </c>
      <c r="D47" s="8" t="inlineStr">
        <is>
          <t>JOSE ANGEL VAZQUEZ REGA</t>
        </is>
      </c>
      <c r="E47" s="21" t="n">
        <v>20678.56</v>
      </c>
      <c r="F47" s="21" t="n">
        <v>15374.44</v>
      </c>
      <c r="G47" s="21" t="n">
        <v>4540.99</v>
      </c>
      <c r="H47" s="21">
        <f>IF(COUNTA(E47:G47)=0,"",SUM(E47:G47))</f>
        <v/>
      </c>
      <c r="I47" s="21" t="n">
        <v>37249.56</v>
      </c>
      <c r="J47" s="21">
        <f>IF(OR(H47="",I47=""),"",I47-H47)</f>
        <v/>
      </c>
      <c r="K47" s="8" t="n">
        <v>14</v>
      </c>
      <c r="L47" s="8" t="inlineStr">
        <is>
          <t>Diferencia informativa: Registro usa retribuciones normalizadas + variables; nóminas usa Total Devengado real de los PDFs aportados.</t>
        </is>
      </c>
      <c r="M47" s="8" t="inlineStr">
        <is>
          <t>PDF_ABRIL.pdf p.25 (Del 1 al 30 Abril 2025); PDF_AGOSTO.pdf p.24 (Del 1 al 31 Agosto 2025); PDF_DICIEMBRE.pdf p.23 (Del 1 al 31 Diciembre 2025); PDF_ENERO.pdf p.25 (Del 1 al 31 Enero 2025); PDF_FEBRERO.pdf p.25 (Del 1 al 28 Febrero 2025); PDF_FEBRERO_VARIABLE.pdf p.15 (Del 1 al 28 Febrero 2025); PDF_JULIO.pdf p.24 (Del 1 al 31 Julio 2025); PDF_JUNIO.pdf p.24 (Del 1 al 30 Junio 2025); ... (+6 más)</t>
        </is>
      </c>
    </row>
    <row r="48" ht="62" customHeight="1">
      <c r="A48" s="23" t="inlineStr">
        <is>
          <t>Comparado</t>
        </is>
      </c>
      <c r="B48" s="8" t="inlineStr">
        <is>
          <t>07489587M</t>
        </is>
      </c>
      <c r="C48" s="8" t="inlineStr">
        <is>
          <t>10293</t>
        </is>
      </c>
      <c r="D48" s="8" t="inlineStr">
        <is>
          <t>JOSE DE MIGUEL VIDAL</t>
        </is>
      </c>
      <c r="E48" s="21" t="n">
        <v>23741.62</v>
      </c>
      <c r="F48" s="21" t="n">
        <v>33847.88</v>
      </c>
      <c r="G48" s="21" t="n">
        <v>4299.07</v>
      </c>
      <c r="H48" s="21">
        <f>IF(COUNTA(E48:G48)=0,"",SUM(E48:G48))</f>
        <v/>
      </c>
      <c r="I48" s="21" t="n">
        <v>57234.01</v>
      </c>
      <c r="J48" s="21">
        <f>IF(OR(H48="",I48=""),"",I48-H48)</f>
        <v/>
      </c>
      <c r="K48" s="8" t="n">
        <v>14</v>
      </c>
      <c r="L48" s="8" t="inlineStr">
        <is>
          <t>Diferencia informativa: Registro usa retribuciones normalizadas + variables; nóminas usa Total Devengado real de los PDFs aportados.</t>
        </is>
      </c>
      <c r="M48" s="8" t="inlineStr">
        <is>
          <t>PDF_ABRIL.pdf p.32 (Del 1 al 30 Abril 2025); PDF_AGOSTO.pdf p.31 (Del 1 al 31 Agosto 2025); PDF_DICIEMBRE.pdf p.30 (Del 1 al 31 Diciembre 2025); PDF_ENERO.pdf p.32 (Del 1 al 31 Enero 2025); PDF_FEBRERO.pdf p.32 (Del 1 al 28 Febrero 2025); PDF_FEBRERO_VARIABLE.pdf p.20 (Del 1 al 28 Febrero 2025); PDF_JULIO.pdf p.31 (Del 1 al 31 Julio 2025); PDF_JUNIO.pdf p.31 (Del 1 al 30 Junio 2025); ... (+6 más)</t>
        </is>
      </c>
    </row>
    <row r="49" ht="62" customHeight="1">
      <c r="A49" s="23" t="inlineStr">
        <is>
          <t>Comparado</t>
        </is>
      </c>
      <c r="B49" s="8" t="inlineStr">
        <is>
          <t>52340512X</t>
        </is>
      </c>
      <c r="C49" s="8" t="inlineStr">
        <is>
          <t>10123</t>
        </is>
      </c>
      <c r="D49" s="8" t="inlineStr">
        <is>
          <t>JOSE FRANCISCO PRIETO ONIEVA</t>
        </is>
      </c>
      <c r="E49" s="21" t="n">
        <v>22142.22</v>
      </c>
      <c r="F49" s="21" t="n">
        <v>69360.32000000001</v>
      </c>
      <c r="G49" s="21" t="n">
        <v>10522.69</v>
      </c>
      <c r="H49" s="21">
        <f>IF(COUNTA(E49:G49)=0,"",SUM(E49:G49))</f>
        <v/>
      </c>
      <c r="I49" s="21" t="n">
        <v>96695.19</v>
      </c>
      <c r="J49" s="21">
        <f>IF(OR(H49="",I49=""),"",I49-H49)</f>
        <v/>
      </c>
      <c r="K49" s="8" t="n">
        <v>13</v>
      </c>
      <c r="L49" s="8" t="inlineStr">
        <is>
          <t>Diferencia informativa: Registro usa retribuciones normalizadas + variables; nóminas usa Total Devengado real de los PDFs aportados.</t>
        </is>
      </c>
      <c r="M49" s="8" t="inlineStr">
        <is>
          <t>PDF_ABRIL.pdf p.10 (Del 1 al 30 Abril 2025); PDF_AGOSTO.pdf p.9 (Del 1 al 31 Agosto 2025); PDF_DICIEMBRE.pdf p.9 (Del 1 al 31 Diciembre 2025); PDF_ENERO.pdf p.10 (Del 1 al 31 Enero 2025); PDF_FEBRERO.pdf p.10 (Del 1 al 28 Febrero 2025); PDF_JULIO.pdf p.9 (Del 1 al 31 Julio 2025); PDF_JUNIO.pdf p.9 (Del 1 al 30 Junio 2025); PDF_MARZO.pdf p.10 (Del 1 al 31 Marzo 2025); ... (+5 más)</t>
        </is>
      </c>
    </row>
    <row r="50" ht="62" customHeight="1">
      <c r="A50" s="23" t="inlineStr">
        <is>
          <t>Comparado</t>
        </is>
      </c>
      <c r="B50" s="8" t="inlineStr">
        <is>
          <t>21488912N</t>
        </is>
      </c>
      <c r="C50" s="8" t="inlineStr">
        <is>
          <t>10291</t>
        </is>
      </c>
      <c r="D50" s="8" t="inlineStr">
        <is>
          <t>JOSE IGNACIO JIMENEZ RODRIGUEZ</t>
        </is>
      </c>
      <c r="E50" s="21" t="n">
        <v>123375.94</v>
      </c>
      <c r="F50" s="21" t="n">
        <v>94042.75999999999</v>
      </c>
      <c r="G50" s="21" t="n">
        <v>22871.16</v>
      </c>
      <c r="H50" s="21">
        <f>IF(COUNTA(E50:G50)=0,"",SUM(E50:G50))</f>
        <v/>
      </c>
      <c r="I50" s="21" t="n">
        <v>207984.54</v>
      </c>
      <c r="J50" s="21">
        <f>IF(OR(H50="",I50=""),"",I50-H50)</f>
        <v/>
      </c>
      <c r="K50" s="8" t="n">
        <v>14</v>
      </c>
      <c r="L50" s="8" t="inlineStr">
        <is>
          <t>Diferencia informativa: Registro usa retribuciones normalizadas + variables; nóminas usa Total Devengado real de los PDFs aportados.</t>
        </is>
      </c>
      <c r="M50" s="8" t="inlineStr">
        <is>
          <t>PDF_ABRIL.pdf p.31 (Del 1 al 30 Abril 2025); PDF_AGOSTO.pdf p.30 (Del 1 al 31 Agosto 2025); PDF_DICIEMBRE.pdf p.29 (Del 1 al 31 Diciembre 2025); PDF_ENERO.pdf p.31 (Del 1 al 31 Enero 2025); PDF_FEBRERO.pdf p.31 (Del 1 al 28 Febrero 2025); PDF_JULIO.pdf p.30 (Del 1 al 31 Julio 2025); PDF_JUNIO.pdf p.30 (Del 1 al 30 Junio 2025); PDF_MARZO.pdf p.31 (Del 1 al 31 Marzo 2025); ... (+6 más)</t>
        </is>
      </c>
    </row>
    <row r="51" ht="62" customHeight="1">
      <c r="A51" s="23" t="inlineStr">
        <is>
          <t>Comparado</t>
        </is>
      </c>
      <c r="B51" s="8" t="inlineStr">
        <is>
          <t>80049970B</t>
        </is>
      </c>
      <c r="C51" s="8" t="inlineStr">
        <is>
          <t>10143</t>
        </is>
      </c>
      <c r="D51" s="8" t="inlineStr">
        <is>
          <t>JOSE LUIS ÁLVAREZ DOMINGUEZ</t>
        </is>
      </c>
      <c r="E51" s="21" t="n">
        <v>22999.14</v>
      </c>
      <c r="F51" s="21" t="n">
        <v>34206.46</v>
      </c>
      <c r="G51" s="21" t="n">
        <v>9958.83</v>
      </c>
      <c r="H51" s="21">
        <f>IF(COUNTA(E51:G51)=0,"",SUM(E51:G51))</f>
        <v/>
      </c>
      <c r="I51" s="21" t="n">
        <v>62911.73</v>
      </c>
      <c r="J51" s="21">
        <f>IF(OR(H51="",I51=""),"",I51-H51)</f>
        <v/>
      </c>
      <c r="K51" s="8" t="n">
        <v>14</v>
      </c>
      <c r="L51" s="8" t="inlineStr">
        <is>
          <t>Diferencia informativa: Registro usa retribuciones normalizadas + variables; nóminas usa Total Devengado real de los PDFs aportados.</t>
        </is>
      </c>
      <c r="M51" s="8" t="inlineStr">
        <is>
          <t>PDF_ABRIL.pdf p.14 (Del 1 al 30 Abril 2025); PDF_AGOSTO.pdf p.13 (Del 1 al 31 Agosto 2025); PDF_DICIEMBRE.pdf p.13 (Del 1 al 31 Diciembre 2025); PDF_ENERO.pdf p.14 (Del 1 al 31 Enero 2025); PDF_FEBRERO.pdf p.14 (Del 1 al 28 Febrero 2025); PDF_JULIO.pdf p.13 (Del 1 al 31 Julio 2025); PDF_JUNIO.pdf p.13 (Del 1 al 30 Junio 2025); PDF_MARZO.pdf p.14 (Del 1 al 31 Marzo 2025); ... (+6 más)</t>
        </is>
      </c>
    </row>
    <row r="52" ht="62" customHeight="1">
      <c r="A52" s="23" t="inlineStr">
        <is>
          <t>Comparado</t>
        </is>
      </c>
      <c r="B52" s="8" t="inlineStr">
        <is>
          <t>53422341B</t>
        </is>
      </c>
      <c r="C52" s="8" t="inlineStr">
        <is>
          <t>10287</t>
        </is>
      </c>
      <c r="D52" s="8" t="inlineStr">
        <is>
          <t>JOSE MARIA GARCIA BASTARDO</t>
        </is>
      </c>
      <c r="E52" s="21" t="n">
        <v>22821.96</v>
      </c>
      <c r="F52" s="21" t="n">
        <v>28067.32</v>
      </c>
      <c r="G52" s="21" t="n">
        <v>5151.64</v>
      </c>
      <c r="H52" s="21">
        <f>IF(COUNTA(E52:G52)=0,"",SUM(E52:G52))</f>
        <v/>
      </c>
      <c r="I52" s="21" t="n">
        <v>53189.4</v>
      </c>
      <c r="J52" s="21">
        <f>IF(OR(H52="",I52=""),"",I52-H52)</f>
        <v/>
      </c>
      <c r="K52" s="8" t="n">
        <v>14</v>
      </c>
      <c r="L52" s="8" t="inlineStr">
        <is>
          <t>Diferencia informativa: Registro usa retribuciones normalizadas + variables; nóminas usa Total Devengado real de los PDFs aportados.</t>
        </is>
      </c>
      <c r="M52" s="8" t="inlineStr">
        <is>
          <t>PDF_ABRIL.pdf p.29 (Del 1 al 30 Abril 2025); PDF_AGOSTO.pdf p.28 (Del 1 al 31 Agosto 2025); PDF_DICIEMBRE.pdf p.27 (Del 1 al 31 Diciembre 2025); PDF_ENERO.pdf p.29 (Del 1 al 31 Enero 2025); PDF_FEBRERO.pdf p.29 (Del 1 al 28 Febrero 2025); PDF_FEBRERO_VARIABLE.pdf p.18 (Del 1 al 28 Febrero 2025); PDF_JULIO.pdf p.28 (Del 1 al 31 Julio 2025); PDF_JUNIO.pdf p.28 (Del 1 al 30 Junio 2025); ... (+6 más)</t>
        </is>
      </c>
    </row>
    <row r="53" ht="62" customHeight="1">
      <c r="A53" s="23" t="inlineStr">
        <is>
          <t>Comparado</t>
        </is>
      </c>
      <c r="B53" s="8" t="inlineStr">
        <is>
          <t>38093293A</t>
        </is>
      </c>
      <c r="C53" s="8" t="inlineStr">
        <is>
          <t>10235</t>
        </is>
      </c>
      <c r="D53" s="8" t="inlineStr">
        <is>
          <t>JOSE ORIOL MARTI BORT</t>
        </is>
      </c>
      <c r="E53" s="21" t="n">
        <v>22188.85</v>
      </c>
      <c r="F53" s="21" t="n">
        <v>19672.89</v>
      </c>
      <c r="G53" s="21" t="n">
        <v>4710.29</v>
      </c>
      <c r="H53" s="21">
        <f>IF(COUNTA(E53:G53)=0,"",SUM(E53:G53))</f>
        <v/>
      </c>
      <c r="I53" s="21" t="n">
        <v>42419.68</v>
      </c>
      <c r="J53" s="21">
        <f>IF(OR(H53="",I53=""),"",I53-H53)</f>
        <v/>
      </c>
      <c r="K53" s="8" t="n">
        <v>14</v>
      </c>
      <c r="L53" s="8" t="inlineStr">
        <is>
          <t>Diferencia informativa: Registro usa retribuciones normalizadas + variables; nóminas usa Total Devengado real de los PDFs aportados.</t>
        </is>
      </c>
      <c r="M53" s="8" t="inlineStr">
        <is>
          <t>PDF_ABRIL.pdf p.19 (Del 1 al 30 Abril 2025); PDF_AGOSTO.pdf p.18 (Del 1 al 31 Agosto 2025); PDF_DICIEMBRE.pdf p.17 (Del 1 al 31 Diciembre 2025); PDF_ENERO.pdf p.19 (Del 1 al 31 Enero 2025); PDF_FEBRERO.pdf p.19 (Del 1 al 28 Febrero 2025); PDF_FEBRERO_VARIABLE.pdf p.10 (Del 1 al 28 Febrero 2025); PDF_JULIO.pdf p.18 (Del 1 al 31 Julio 2025); PDF_JUNIO.pdf p.18 (Del 1 al 30 Junio 2025); ... (+6 más)</t>
        </is>
      </c>
    </row>
    <row r="54" ht="62" customHeight="1">
      <c r="A54" s="23" t="inlineStr">
        <is>
          <t>Comparado</t>
        </is>
      </c>
      <c r="B54" s="8" t="inlineStr">
        <is>
          <t>07980682G</t>
        </is>
      </c>
      <c r="C54" s="8" t="inlineStr">
        <is>
          <t>10328</t>
        </is>
      </c>
      <c r="D54" s="8" t="inlineStr">
        <is>
          <t>JUAN CARLOS IGLESIAS POVEDA</t>
        </is>
      </c>
      <c r="E54" s="21" t="n">
        <v>23515.52</v>
      </c>
      <c r="F54" s="21" t="n">
        <v>32805.8</v>
      </c>
      <c r="G54" s="21" t="n">
        <v>5211.46</v>
      </c>
      <c r="H54" s="21">
        <f>IF(COUNTA(E54:G54)=0,"",SUM(E54:G54))</f>
        <v/>
      </c>
      <c r="I54" s="21" t="n">
        <v>58307.25</v>
      </c>
      <c r="J54" s="21">
        <f>IF(OR(H54="",I54=""),"",I54-H54)</f>
        <v/>
      </c>
      <c r="K54" s="8" t="n">
        <v>14</v>
      </c>
      <c r="L54" s="8" t="inlineStr">
        <is>
          <t>Diferencia informativa: Registro usa retribuciones normalizadas + variables; nóminas usa Total Devengado real de los PDFs aportados.</t>
        </is>
      </c>
      <c r="M54" s="8" t="inlineStr">
        <is>
          <t>PDF_ABRIL.pdf p.40 (Del 1 al 30 Abril 2025); PDF_AGOSTO.pdf p.39 (Del 1 al 31 Agosto 2025); PDF_DICIEMBRE.pdf p.38 (Del 1 al 31 Diciembre 2025); PDF_ENERO.pdf p.40 (Del 1 al 31 Enero 2025); PDF_FEBRERO.pdf p.40 (Del 1 al 28 Febrero 2025); PDF_FEBRERO_VARIABLE.pdf p.25 (Del 1 al 28 Febrero 2025); PDF_JULIO.pdf p.39 (Del 1 al 31 Julio 2025); PDF_JUNIO.pdf p.39 (Del 1 al 30 Junio 2025); ... (+6 más)</t>
        </is>
      </c>
    </row>
    <row r="55" ht="62" customHeight="1">
      <c r="A55" s="23" t="inlineStr">
        <is>
          <t>Comparado</t>
        </is>
      </c>
      <c r="B55" s="8" t="inlineStr">
        <is>
          <t>51643357P</t>
        </is>
      </c>
      <c r="C55" s="8" t="inlineStr">
        <is>
          <t>10153</t>
        </is>
      </c>
      <c r="D55" s="8" t="inlineStr">
        <is>
          <t>JUAN MANUEL MEGIAS FERNANDEZ</t>
        </is>
      </c>
      <c r="E55" s="21" t="n">
        <v>23745.72</v>
      </c>
      <c r="F55" s="21" t="n">
        <v>20659.48</v>
      </c>
      <c r="G55" s="21" t="n">
        <v>5117.73</v>
      </c>
      <c r="H55" s="21">
        <f>IF(COUNTA(E55:G55)=0,"",SUM(E55:G55))</f>
        <v/>
      </c>
      <c r="I55" s="21" t="n">
        <v>45942.31</v>
      </c>
      <c r="J55" s="21">
        <f>IF(OR(H55="",I55=""),"",I55-H55)</f>
        <v/>
      </c>
      <c r="K55" s="8" t="n">
        <v>13</v>
      </c>
      <c r="L55" s="8" t="inlineStr">
        <is>
          <t>Diferencia informativa: Registro usa retribuciones normalizadas + variables; nóminas usa Total Devengado real de los PDFs aportados.</t>
        </is>
      </c>
      <c r="M55" s="8" t="inlineStr">
        <is>
          <t>PDF_ABRIL.pdf p.15 (Del 1 al 30 Abril 2025); PDF_AGOSTO.pdf p.14 (Del 1 al 31 Agosto 2025); PDF_DICIEMBRE.pdf p.14 (Del 1 al 31 Diciembre 2025); PDF_ENERO.pdf p.15 (Del 1 al 31 Enero 2025); PDF_FEBRERO.pdf p.15 (Del 1 al 28 Febrero 2025); PDF_FEBRERO_VARIABLE.pdf p.7 (Del 1 al 28 Febrero 2025); PDF_JULIO.pdf p.14 (Del 1 al 31 Julio 2025); PDF_JUNIO.pdf p.14 (Del 1 al 30 Junio 2025); ... (+5 más)</t>
        </is>
      </c>
    </row>
    <row r="56" ht="62" customHeight="1">
      <c r="A56" s="23" t="inlineStr">
        <is>
          <t>Comparado</t>
        </is>
      </c>
      <c r="B56" s="8" t="inlineStr">
        <is>
          <t>05388847Q</t>
        </is>
      </c>
      <c r="C56" s="8" t="inlineStr">
        <is>
          <t>10372</t>
        </is>
      </c>
      <c r="D56" s="8" t="inlineStr">
        <is>
          <t>JUAN MANUEL SABORIDO MODIA</t>
        </is>
      </c>
      <c r="E56" s="21" t="n">
        <v>25807.08</v>
      </c>
      <c r="F56" s="21" t="n">
        <v>105934.16</v>
      </c>
      <c r="G56" s="21" t="n">
        <v>7902.26</v>
      </c>
      <c r="H56" s="21">
        <f>IF(COUNTA(E56:G56)=0,"",SUM(E56:G56))</f>
        <v/>
      </c>
      <c r="I56" s="21" t="n">
        <v>130497.3</v>
      </c>
      <c r="J56" s="21">
        <f>IF(OR(H56="",I56=""),"",I56-H56)</f>
        <v/>
      </c>
      <c r="K56" s="8" t="n">
        <v>14</v>
      </c>
      <c r="L56" s="8" t="inlineStr">
        <is>
          <t>Diferencia informativa: Registro usa retribuciones normalizadas + variables; nóminas usa Total Devengado real de los PDFs aportados.</t>
        </is>
      </c>
      <c r="M56" s="8" t="inlineStr">
        <is>
          <t>PDF_ABRIL.pdf p.55 (Del 1 al 30 Abril 2025); PDF_AGOSTO.pdf p.53 (Del 1 al 31 Agosto 2025); PDF_DICIEMBRE.pdf p.52 (Del 1 al 31 Diciembre 2025); PDF_ENERO.pdf p.55 (Del 1 al 31 Enero 2025); PDF_FEBRERO.pdf p.55 (Del 1 al 28 Febrero 2025); PDF_JULIO.pdf p.54 (Del 1 al 31 Julio 2025); PDF_JUNIO.pdf p.53 (Del 1 al 30 Junio 2025); PDF_MARZO.pdf p.55 (Del 1 al 31 Marzo 2025); ... (+6 más)</t>
        </is>
      </c>
    </row>
    <row r="57" ht="62" customHeight="1">
      <c r="A57" s="23" t="inlineStr">
        <is>
          <t>Comparado</t>
        </is>
      </c>
      <c r="B57" s="8" t="inlineStr">
        <is>
          <t>51095148G</t>
        </is>
      </c>
      <c r="C57" s="8" t="inlineStr">
        <is>
          <t>10358</t>
        </is>
      </c>
      <c r="D57" s="8" t="inlineStr">
        <is>
          <t>LAURA VIVIANA SCHMILOVICH ISGUT</t>
        </is>
      </c>
      <c r="E57" s="21" t="n">
        <v>20533.72</v>
      </c>
      <c r="F57" s="21" t="n">
        <v>16297.83</v>
      </c>
      <c r="G57" s="21" t="n">
        <v>4684.83</v>
      </c>
      <c r="H57" s="21">
        <f>IF(COUNTA(E57:G57)=0,"",SUM(E57:G57))</f>
        <v/>
      </c>
      <c r="I57" s="21" t="n">
        <v>32605.94</v>
      </c>
      <c r="J57" s="21">
        <f>IF(OR(H57="",I57=""),"",I57-H57)</f>
        <v/>
      </c>
      <c r="K57" s="8" t="n">
        <v>14</v>
      </c>
      <c r="L57" s="8" t="inlineStr">
        <is>
          <t>Diferencia informativa: Registro usa retribuciones normalizadas + variables; nóminas usa Total Devengado real de los PDFs aportados.</t>
        </is>
      </c>
      <c r="M57" s="8" t="inlineStr">
        <is>
          <t>PDF_ABRIL.pdf p.51 (Del 1 al 30 Abril 2025); PDF_AGOSTO.pdf p.49 (Del 1 al 31 Agosto 2025); PDF_DICIEMBRE.pdf p.48 (Del 1 al 31 Diciembre 2025); PDF_ENERO.pdf p.51 (Del 1 al 31 Enero 2025); PDF_FEBRERO.pdf p.51 (Del 1 al 28 Febrero 2025); PDF_FEBRERO_VARIABLE.pdf p.30 (Del 1 al 28 Febrero 2025); PDF_JULIO.pdf p.50 (Del 1 al 31 Julio 2025); PDF_JUNIO.pdf p.49 (Del 1 al 30 Junio 2025); ... (+6 más)</t>
        </is>
      </c>
    </row>
    <row r="58" ht="62" customHeight="1">
      <c r="A58" s="23" t="inlineStr">
        <is>
          <t>Comparado</t>
        </is>
      </c>
      <c r="B58" s="8" t="inlineStr">
        <is>
          <t>72530884Q</t>
        </is>
      </c>
      <c r="C58" s="8" t="inlineStr">
        <is>
          <t>10140</t>
        </is>
      </c>
      <c r="D58" s="8" t="inlineStr">
        <is>
          <t>LUIS ANTONIO CLEMENTE MAS</t>
        </is>
      </c>
      <c r="E58" s="21" t="n">
        <v>24985.94</v>
      </c>
      <c r="F58" s="21" t="n">
        <v>28194.08</v>
      </c>
      <c r="G58" s="21" t="n">
        <v>11676.68</v>
      </c>
      <c r="H58" s="21">
        <f>IF(COUNTA(E58:G58)=0,"",SUM(E58:G58))</f>
        <v/>
      </c>
      <c r="I58" s="21" t="n">
        <v>51450.02</v>
      </c>
      <c r="J58" s="21">
        <f>IF(OR(H58="",I58=""),"",I58-H58)</f>
        <v/>
      </c>
      <c r="K58" s="8" t="n">
        <v>14</v>
      </c>
      <c r="L58" s="8" t="inlineStr">
        <is>
          <t>Diferencia informativa: Registro usa retribuciones normalizadas + variables; nóminas usa Total Devengado real de los PDFs aportados.</t>
        </is>
      </c>
      <c r="M58" s="8" t="inlineStr">
        <is>
          <t>PDF_ABRIL.pdf p.13 (Del 1 al 30 Abril 2025); PDF_AGOSTO.pdf p.12 (Del 1 al 31 Agosto 2025); PDF_DICIEMBRE.pdf p.12 (Del 1 al 31 Diciembre 2025); PDF_ENERO.pdf p.13 (Del 1 al 31 Enero 2025); PDF_FEBRERO.pdf p.13 (Del 1 al 28 Febrero 2025); PDF_JULIO.pdf p.12 (Del 1 al 31 Julio 2025); PDF_JUNIO.pdf p.12 (Del 1 al 30 Junio 2025); PDF_MARZO.pdf p.13 (Del 1 al 31 Marzo 2025); ... (+6 más)</t>
        </is>
      </c>
    </row>
    <row r="59" ht="62" customHeight="1">
      <c r="A59" s="23" t="inlineStr">
        <is>
          <t>Comparado</t>
        </is>
      </c>
      <c r="B59" s="8" t="inlineStr">
        <is>
          <t>51063284H</t>
        </is>
      </c>
      <c r="C59" s="8" t="inlineStr">
        <is>
          <t>10278</t>
        </is>
      </c>
      <c r="D59" s="8" t="inlineStr">
        <is>
          <t>LUIS HERNANDEZ CUADRADO</t>
        </is>
      </c>
      <c r="E59" s="21" t="n">
        <v>25807.08</v>
      </c>
      <c r="F59" s="21" t="n">
        <v>106507.04</v>
      </c>
      <c r="G59" s="21" t="n">
        <v>8337.629999999999</v>
      </c>
      <c r="H59" s="21">
        <f>IF(COUNTA(E59:G59)=0,"",SUM(E59:G59))</f>
        <v/>
      </c>
      <c r="I59" s="21" t="n">
        <v>133125.54</v>
      </c>
      <c r="J59" s="21">
        <f>IF(OR(H59="",I59=""),"",I59-H59)</f>
        <v/>
      </c>
      <c r="K59" s="8" t="n">
        <v>14</v>
      </c>
      <c r="L59" s="8" t="inlineStr">
        <is>
          <t>Diferencia informativa: Registro usa retribuciones normalizadas + variables; nóminas usa Total Devengado real de los PDFs aportados.</t>
        </is>
      </c>
      <c r="M59" s="8" t="inlineStr">
        <is>
          <t>PDF_ABRIL.pdf p.27 (Del 1 al 30 Abril 2025); PDF_AGOSTO.pdf p.26 (Del 1 al 31 Agosto 2025); PDF_DICIEMBRE.pdf p.25 (Del 1 al 31 Diciembre 2025); PDF_ENERO.pdf p.27 (Del 1 al 31 Enero 2025); PDF_FEBRERO.pdf p.27 (Del 1 al 28 Febrero 2025); PDF_JULIO.pdf p.26 (Del 1 al 31 Julio 2025); PDF_JUNIO.pdf p.26 (Del 1 al 30 Junio 2025); PDF_MARZO.pdf p.27 (Del 1 al 31 Marzo 2025); ... (+6 más)</t>
        </is>
      </c>
    </row>
    <row r="60" ht="62" customHeight="1">
      <c r="A60" s="23" t="inlineStr">
        <is>
          <t>Comparado</t>
        </is>
      </c>
      <c r="B60" s="8" t="inlineStr">
        <is>
          <t>09278719J</t>
        </is>
      </c>
      <c r="C60" s="8" t="inlineStr">
        <is>
          <t>10084</t>
        </is>
      </c>
      <c r="D60" s="8" t="inlineStr">
        <is>
          <t>LUIS MIGUEL CALVO MARTINEZ</t>
        </is>
      </c>
      <c r="E60" s="21" t="n">
        <v>26578.48</v>
      </c>
      <c r="F60" s="21" t="n">
        <v>12745.01</v>
      </c>
      <c r="G60" s="21" t="n">
        <v>4867.58</v>
      </c>
      <c r="H60" s="21">
        <f>IF(COUNTA(E60:G60)=0,"",SUM(E60:G60))</f>
        <v/>
      </c>
      <c r="I60" s="21" t="n">
        <v>41500.53</v>
      </c>
      <c r="J60" s="21">
        <f>IF(OR(H60="",I60=""),"",I60-H60)</f>
        <v/>
      </c>
      <c r="K60" s="8" t="n">
        <v>15</v>
      </c>
      <c r="L60" s="8" t="inlineStr">
        <is>
          <t>Diferencia informativa: Registro usa retribuciones normalizadas + variables; nóminas usa Total Devengado real de los PDFs aportados.</t>
        </is>
      </c>
      <c r="M60" s="8" t="inlineStr">
        <is>
          <t>PDF_ABRIL.pdf p.8 (Del 1 al 30 Abril 2025); PDF_AGOSTO.pdf p.7 (Del 1 al 31 Agosto 2025); PDF_DICIEMBRE.pdf p.7 (Del 1 al 31 Diciembre 2025); PDF_ENERO.pdf p.8 (Del 1 al 31 Enero 2025); PDF_FEBRERO.pdf p.8 (Del 1 al 28 Febrero 2025); PDF_FEBRERO_VARIABLE.pdf p.4 (Del 1 al 28 Febrero 2025); PDF_JULIO.pdf p.7 (Del 1 al 31 Julio 2025); PDF_JUNIO.pdf p.7 (Del 1 al 30 Junio 2025); ... (+7 más)</t>
        </is>
      </c>
    </row>
    <row r="61" ht="62" customHeight="1">
      <c r="A61" s="23" t="inlineStr">
        <is>
          <t>Comparado</t>
        </is>
      </c>
      <c r="B61" s="8" t="inlineStr">
        <is>
          <t>00698541P</t>
        </is>
      </c>
      <c r="C61" s="8" t="inlineStr">
        <is>
          <t>10193</t>
        </is>
      </c>
      <c r="D61" s="8" t="inlineStr">
        <is>
          <t>LUIS MUÑOZ RADIGALES</t>
        </is>
      </c>
      <c r="E61" s="21" t="n">
        <v>21466.4</v>
      </c>
      <c r="F61" s="21" t="n">
        <v>12772.16</v>
      </c>
      <c r="G61" s="21" t="n">
        <v>4421.8</v>
      </c>
      <c r="H61" s="21">
        <f>IF(COUNTA(E61:G61)=0,"",SUM(E61:G61))</f>
        <v/>
      </c>
      <c r="I61" s="21" t="n">
        <v>33929.78</v>
      </c>
      <c r="J61" s="21">
        <f>IF(OR(H61="",I61=""),"",I61-H61)</f>
        <v/>
      </c>
      <c r="K61" s="8" t="n">
        <v>13</v>
      </c>
      <c r="L61" s="8" t="inlineStr">
        <is>
          <t>Diferencia informativa: Registro usa retribuciones normalizadas + variables; nóminas usa Total Devengado real de los PDFs aportados.</t>
        </is>
      </c>
      <c r="M61" s="8" t="inlineStr">
        <is>
          <t>PDF_ABRIL.pdf p.17 (Del 1 al 30 Abril 2025); PDF_AGOSTO.pdf p.16 (Del 1 al 31 Agosto 2025); PDF_DICIEMBRE.pdf p.15 (Del 1 al 31 Diciembre 2025); PDF_ENERO.pdf p.17 (Del 1 al 31 Enero 2025); PDF_FEBRERO.pdf p.17 (Del 1 al 28 Febrero 2025); PDF_FEBRERO_VARIABLE.pdf p.9 (Del 1 al 28 Febrero 2025); PDF_JULIO.pdf p.16 (Del 1 al 31 Julio 2025); PDF_JUNIO.pdf p.16 (Del 1 al 30 Junio 2025); ... (+5 más)</t>
        </is>
      </c>
    </row>
    <row r="62" ht="62" customHeight="1">
      <c r="A62" s="23" t="inlineStr">
        <is>
          <t>Comparado</t>
        </is>
      </c>
      <c r="B62" s="8" t="inlineStr">
        <is>
          <t>52553346W</t>
        </is>
      </c>
      <c r="C62" s="8" t="inlineStr">
        <is>
          <t>10375</t>
        </is>
      </c>
      <c r="D62" s="8" t="inlineStr">
        <is>
          <t>MANUEL GAVILAN GARCÍA</t>
        </is>
      </c>
      <c r="E62" s="21" t="n">
        <v>21952.62</v>
      </c>
      <c r="F62" s="21" t="n">
        <v>33983.64</v>
      </c>
      <c r="G62" s="21" t="n">
        <v>5097.56</v>
      </c>
      <c r="H62" s="21">
        <f>IF(COUNTA(E62:G62)=0,"",SUM(E62:G62))</f>
        <v/>
      </c>
      <c r="I62" s="21" t="n">
        <v>56687.07</v>
      </c>
      <c r="J62" s="21">
        <f>IF(OR(H62="",I62=""),"",I62-H62)</f>
        <v/>
      </c>
      <c r="K62" s="8" t="n">
        <v>14</v>
      </c>
      <c r="L62" s="8" t="inlineStr">
        <is>
          <t>Diferencia informativa: Registro usa retribuciones normalizadas + variables; nóminas usa Total Devengado real de los PDFs aportados.</t>
        </is>
      </c>
      <c r="M62" s="8" t="inlineStr">
        <is>
          <t>PDF_ABRIL.pdf p.57 (Del 1 al 30 Abril 2025); PDF_AGOSTO.pdf p.55 (Del 1 al 31 Agosto 2025); PDF_DICIEMBRE.pdf p.54 (Del 1 al 31 Diciembre 2025); PDF_ENERO.pdf p.57 (Del 1 al 31 Enero 2025); PDF_FEBRERO.pdf p.57 (Del 1 al 28 Febrero 2025); PDF_JULIO.pdf p.56 (Del 1 al 31 Julio 2025); PDF_JUNIO.pdf p.55 (Del 1 al 30 Junio 2025); PDF_MARZO.pdf p.57 (Del 1 al 31 Marzo 2025); ... (+6 más)</t>
        </is>
      </c>
    </row>
    <row r="63" ht="62" customHeight="1">
      <c r="A63" s="23" t="inlineStr">
        <is>
          <t>Comparado</t>
        </is>
      </c>
      <c r="B63" s="8" t="inlineStr">
        <is>
          <t>02228820M</t>
        </is>
      </c>
      <c r="C63" s="8" t="inlineStr">
        <is>
          <t>10340</t>
        </is>
      </c>
      <c r="D63" s="8" t="inlineStr">
        <is>
          <t>MARIA DEL ROCIO CACHEIRO ABAD</t>
        </is>
      </c>
      <c r="E63" s="21" t="n">
        <v>23289.42</v>
      </c>
      <c r="F63" s="21" t="n">
        <v>27942.56</v>
      </c>
      <c r="G63" s="21" t="n">
        <v>4856.03</v>
      </c>
      <c r="H63" s="21">
        <f>IF(COUNTA(E63:G63)=0,"",SUM(E63:G63))</f>
        <v/>
      </c>
      <c r="I63" s="21" t="n">
        <v>49839.31</v>
      </c>
      <c r="J63" s="21">
        <f>IF(OR(H63="",I63=""),"",I63-H63)</f>
        <v/>
      </c>
      <c r="K63" s="8" t="n">
        <v>14</v>
      </c>
      <c r="L63" s="8" t="inlineStr">
        <is>
          <t>Diferencia informativa: Registro usa retribuciones normalizadas + variables; nóminas usa Total Devengado real de los PDFs aportados.</t>
        </is>
      </c>
      <c r="M63" s="8" t="inlineStr">
        <is>
          <t>PDF_ABRIL.pdf p.45 (Del 1 al 30 Abril 2025); PDF_AGOSTO.pdf p.43 (Del 1 al 31 Agosto 2025); PDF_DICIEMBRE.pdf p.42 (Del 1 al 31 Diciembre 2025); PDF_ENERO.pdf p.45 (Del 1 al 31 Enero 2025); PDF_FEBRERO.pdf p.45 (Del 1 al 28 Febrero 2025); PDF_FEBRERO_VARIABLE.pdf p.28 (Del 1 al 28 Febrero 2025); PDF_JULIO.pdf p.44 (Del 1 al 31 Julio 2025); PDF_JUNIO.pdf p.43 (Del 1 al 30 Junio 2025); ... (+6 más)</t>
        </is>
      </c>
    </row>
    <row r="64" ht="62" customHeight="1">
      <c r="A64" s="23" t="inlineStr">
        <is>
          <t>Comparado</t>
        </is>
      </c>
      <c r="B64" s="8" t="inlineStr">
        <is>
          <t>33526176L</t>
        </is>
      </c>
      <c r="C64" s="8" t="inlineStr">
        <is>
          <t>10256</t>
        </is>
      </c>
      <c r="D64" s="8" t="inlineStr">
        <is>
          <t>MARTA SECO SANCHEZ</t>
        </is>
      </c>
      <c r="E64" s="21" t="n">
        <v>20875.56</v>
      </c>
      <c r="F64" s="21" t="n">
        <v>9937.4</v>
      </c>
      <c r="G64" s="21" t="n">
        <v>3371.6</v>
      </c>
      <c r="H64" s="21">
        <f>IF(COUNTA(E64:G64)=0,"",SUM(E64:G64))</f>
        <v/>
      </c>
      <c r="I64" s="21" t="n">
        <v>29181.57</v>
      </c>
      <c r="J64" s="21">
        <f>IF(OR(H64="",I64=""),"",I64-H64)</f>
        <v/>
      </c>
      <c r="K64" s="8" t="n">
        <v>14</v>
      </c>
      <c r="L64" s="8" t="inlineStr">
        <is>
          <t>Diferencia informativa: Registro usa retribuciones normalizadas + variables; nóminas usa Total Devengado real de los PDFs aportados.</t>
        </is>
      </c>
      <c r="M64" s="8" t="inlineStr">
        <is>
          <t>PDF_ABRIL.pdf p.22 (Del 1 al 30 Abril 2025); PDF_AGOSTO.pdf p.21 (Del 1 al 31 Agosto 2025); PDF_DICIEMBRE.pdf p.20 (Del 1 al 31 Diciembre 2025); PDF_ENERO.pdf p.22 (Del 1 al 31 Enero 2025); PDF_FEBRERO.pdf p.22 (Del 1 al 28 Febrero 2025); PDF_FEBRERO_VARIABLE.pdf p.13 (Del 1 al 28 Febrero 2025); PDF_JULIO.pdf p.21 (Del 1 al 31 Julio 2025); PDF_JUNIO.pdf p.21 (Del 1 al 30 Junio 2025); ... (+6 más)</t>
        </is>
      </c>
    </row>
    <row r="65" ht="62" customHeight="1">
      <c r="A65" s="23" t="inlineStr">
        <is>
          <t>Comparado</t>
        </is>
      </c>
      <c r="B65" s="8" t="inlineStr">
        <is>
          <t>06997371N</t>
        </is>
      </c>
      <c r="C65" s="8" t="inlineStr">
        <is>
          <t>10131</t>
        </is>
      </c>
      <c r="D65" s="8" t="inlineStr">
        <is>
          <t>MARÍA ANGELES PEDRAZO MANZANO</t>
        </is>
      </c>
      <c r="E65" s="21" t="n">
        <v>21993.2</v>
      </c>
      <c r="F65" s="21" t="n">
        <v>19951.12</v>
      </c>
      <c r="G65" s="21" t="n">
        <v>4630.14</v>
      </c>
      <c r="H65" s="21">
        <f>IF(COUNTA(E65:G65)=0,"",SUM(E65:G65))</f>
        <v/>
      </c>
      <c r="I65" s="21" t="n">
        <v>41804.24</v>
      </c>
      <c r="J65" s="21">
        <f>IF(OR(H65="",I65=""),"",I65-H65)</f>
        <v/>
      </c>
      <c r="K65" s="8" t="n">
        <v>13</v>
      </c>
      <c r="L65" s="8" t="inlineStr">
        <is>
          <t>Diferencia informativa: Registro usa retribuciones normalizadas + variables; nóminas usa Total Devengado real de los PDFs aportados.</t>
        </is>
      </c>
      <c r="M65" s="8" t="inlineStr">
        <is>
          <t>PDF_ABRIL.pdf p.11 (Del 1 al 30 Abril 2025); PDF_AGOSTO.pdf p.10 (Del 1 al 31 Agosto 2025); PDF_DICIEMBRE.pdf p.10 (Del 1 al 31 Diciembre 2025); PDF_ENERO.pdf p.11 (Del 1 al 31 Enero 2025); PDF_FEBRERO.pdf p.11 (Del 1 al 28 Febrero 2025); PDF_FEBRERO_VARIABLE.pdf p.5 (Del 1 al 28 Febrero 2025); PDF_JULIO.pdf p.10 (Del 1 al 31 Julio 2025); PDF_JUNIO.pdf p.10 (Del 1 al 30 Junio 2025); ... (+5 más)</t>
        </is>
      </c>
    </row>
    <row r="66" ht="62" customHeight="1">
      <c r="A66" s="23" t="inlineStr">
        <is>
          <t>Comparado</t>
        </is>
      </c>
      <c r="B66" s="8" t="inlineStr">
        <is>
          <t>27298818A</t>
        </is>
      </c>
      <c r="C66" s="8" t="inlineStr">
        <is>
          <t>10204</t>
        </is>
      </c>
      <c r="D66" s="8" t="inlineStr">
        <is>
          <t>MARÍA CARMEN DUVISON GARCÍA</t>
        </is>
      </c>
      <c r="E66" s="21" t="n">
        <v>20236.78</v>
      </c>
      <c r="F66" s="21" t="n">
        <v>10754.42</v>
      </c>
      <c r="G66" s="21" t="n">
        <v>4668.45</v>
      </c>
      <c r="H66" s="21">
        <f>IF(COUNTA(E66:G66)=0,"",SUM(E66:G66))</f>
        <v/>
      </c>
      <c r="I66" s="21" t="n">
        <v>33489.68</v>
      </c>
      <c r="J66" s="21">
        <f>IF(OR(H66="",I66=""),"",I66-H66)</f>
        <v/>
      </c>
      <c r="K66" s="8" t="n">
        <v>13</v>
      </c>
      <c r="L66" s="8" t="inlineStr">
        <is>
          <t>Diferencia informativa: Registro usa retribuciones normalizadas + variables; nóminas usa Total Devengado real de los PDFs aportados.</t>
        </is>
      </c>
      <c r="M66" s="8" t="inlineStr">
        <is>
          <t>PDF_ABRIL.pdf p.18 (Del 1 al 30 Abril 2025); PDF_AGOSTO.pdf p.17 (Del 1 al 31 Agosto 2025); PDF_DICIEMBRE.pdf p.16 (Del 1 al 31 Diciembre 2025); PDF_ENERO.pdf p.18 (Del 1 al 31 Enero 2025); PDF_FEBRERO.pdf p.18 (Del 1 al 28 Febrero 2025); PDF_JULIO.pdf p.17 (Del 1 al 31 Julio 2025); PDF_JUNIO.pdf p.17 (Del 1 al 30 Junio 2025); PDF_MARZO.pdf p.18 (Del 1 al 31 Marzo 2025); ... (+5 más)</t>
        </is>
      </c>
    </row>
    <row r="67" ht="62" customHeight="1">
      <c r="A67" s="23" t="inlineStr">
        <is>
          <t>Comparado</t>
        </is>
      </c>
      <c r="B67" s="8" t="inlineStr">
        <is>
          <t>00412695Y</t>
        </is>
      </c>
      <c r="C67" s="8" t="inlineStr">
        <is>
          <t>10135</t>
        </is>
      </c>
      <c r="D67" s="8" t="inlineStr">
        <is>
          <t>MARÍA EUGENIA GARCIA RUIZ</t>
        </is>
      </c>
      <c r="E67" s="21" t="n">
        <v>23745.72</v>
      </c>
      <c r="F67" s="21" t="n">
        <v>14199.12</v>
      </c>
      <c r="G67" s="21" t="n">
        <v>4447.26</v>
      </c>
      <c r="H67" s="21">
        <f>IF(COUNTA(E67:G67)=0,"",SUM(E67:G67))</f>
        <v/>
      </c>
      <c r="I67" s="21" t="n">
        <v>36991.81</v>
      </c>
      <c r="J67" s="21">
        <f>IF(OR(H67="",I67=""),"",I67-H67)</f>
        <v/>
      </c>
      <c r="K67" s="8" t="n">
        <v>13</v>
      </c>
      <c r="L67" s="8" t="inlineStr">
        <is>
          <t>Diferencia informativa: Registro usa retribuciones normalizadas + variables; nóminas usa Total Devengado real de los PDFs aportados.</t>
        </is>
      </c>
      <c r="M67" s="8" t="inlineStr">
        <is>
          <t>PDF_ABRIL.pdf p.12 (Del 1 al 30 Abril 2025); PDF_AGOSTO.pdf p.11 (Del 1 al 31 Agosto 2025); PDF_DICIEMBRE.pdf p.11 (Del 1 al 31 Diciembre 2025); PDF_ENERO.pdf p.12 (Del 1 al 31 Enero 2025); PDF_FEBRERO.pdf p.12 (Del 1 al 28 Febrero 2025); PDF_FEBRERO_VARIABLE.pdf p.6 (Del 1 al 28 Febrero 2025); PDF_JULIO.pdf p.11 (Del 1 al 31 Julio 2025); PDF_JUNIO.pdf p.11 (Del 1 al 30 Junio 2025); ... (+5 más)</t>
        </is>
      </c>
    </row>
    <row r="68" ht="62" customHeight="1">
      <c r="A68" s="23" t="inlineStr">
        <is>
          <t>Comparado</t>
        </is>
      </c>
      <c r="B68" s="8" t="inlineStr">
        <is>
          <t>22990612L</t>
        </is>
      </c>
      <c r="C68" s="8" t="inlineStr">
        <is>
          <t>10304</t>
        </is>
      </c>
      <c r="D68" s="8" t="inlineStr">
        <is>
          <t>MONICA GONZALEZ JIMENEZ</t>
        </is>
      </c>
      <c r="E68" s="21" t="n">
        <v>18308.76</v>
      </c>
      <c r="F68" s="21" t="n">
        <v>29120.35</v>
      </c>
      <c r="G68" s="21" t="n">
        <v>5555.17</v>
      </c>
      <c r="H68" s="21">
        <f>IF(COUNTA(E68:G68)=0,"",SUM(E68:G68))</f>
        <v/>
      </c>
      <c r="I68" s="21" t="n">
        <v>50187.91</v>
      </c>
      <c r="J68" s="21">
        <f>IF(OR(H68="",I68=""),"",I68-H68)</f>
        <v/>
      </c>
      <c r="K68" s="8" t="n">
        <v>13</v>
      </c>
      <c r="L68" s="8" t="inlineStr">
        <is>
          <t>Diferencia informativa: Registro usa retribuciones normalizadas + variables; nóminas usa Total Devengado real de los PDFs aportados.</t>
        </is>
      </c>
      <c r="M68" s="8" t="inlineStr">
        <is>
          <t>PDF_ABRIL.pdf p.36 (Del 1 al 30 Abril 2025); PDF_AGOSTO.pdf p.35 (Del 1 al 31 Agosto 2025); PDF_DICIEMBRE.pdf p.34 (Del 1 al 31 Diciembre 2025); PDF_ENERO.pdf p.36 (Del 1 al 31 Enero 2025); PDF_FEBRERO.pdf p.36 (Del 1 al 28 Febrero 2025); PDF_JULIO.pdf p.35 (Del 1 al 31 Julio 2025); PDF_JUNIO.pdf p.35 (Del 1 al 30 Junio 2025); PDF_MARZO.pdf p.36 (Del 1 al 31 Marzo 2025); ... (+5 más)</t>
        </is>
      </c>
    </row>
    <row r="69" ht="62" customHeight="1">
      <c r="A69" s="23" t="inlineStr">
        <is>
          <t>Comparado</t>
        </is>
      </c>
      <c r="B69" s="8" t="inlineStr">
        <is>
          <t>71159744K</t>
        </is>
      </c>
      <c r="C69" s="8" t="inlineStr">
        <is>
          <t>10351</t>
        </is>
      </c>
      <c r="D69" s="8" t="inlineStr">
        <is>
          <t>NOELIA VAL ARRIBAS</t>
        </is>
      </c>
      <c r="E69" s="21" t="n">
        <v>22169.9</v>
      </c>
      <c r="F69" s="21" t="n">
        <v>18374.44</v>
      </c>
      <c r="G69" s="21" t="n">
        <v>4858.34</v>
      </c>
      <c r="H69" s="21">
        <f>IF(COUNTA(E69:G69)=0,"",SUM(E69:G69))</f>
        <v/>
      </c>
      <c r="I69" s="21" t="n">
        <v>29867.55</v>
      </c>
      <c r="J69" s="21">
        <f>IF(OR(H69="",I69=""),"",I69-H69)</f>
        <v/>
      </c>
      <c r="K69" s="8" t="n">
        <v>13</v>
      </c>
      <c r="L69" s="8" t="inlineStr">
        <is>
          <t>Diferencia informativa: Registro usa retribuciones normalizadas + variables; nóminas usa Total Devengado real de los PDFs aportados.</t>
        </is>
      </c>
      <c r="M69" s="8" t="inlineStr">
        <is>
          <t>PDF_ABRIL.pdf p.48 (Del 1 al 30 Abril 2025); PDF_AGOSTO.pdf p.46 (Del 1 al 31 Agosto 2025); PDF_DICIEMBRE.pdf p.45 (Del 1 al 31 Diciembre 2025); PDF_ENERO.pdf p.48 (Del 1 al 31 Enero 2025); PDF_FEBRERO.pdf p.48 (Del 1 al 28 Febrero 2025); PDF_FEBRERO_VARIABLE.pdf p.29 (Del 1 al 28 Febrero 2025); PDF_JULIO.pdf p.47 (Del 1 al 31 Julio 2025); PDF_JUNIO.pdf p.46 (Del 1 al 30 Junio 2025); ... (+5 más)</t>
        </is>
      </c>
    </row>
    <row r="70" ht="62" customHeight="1">
      <c r="A70" s="23" t="inlineStr">
        <is>
          <t>Comparado</t>
        </is>
      </c>
      <c r="B70" s="8" t="inlineStr">
        <is>
          <t>52893289M</t>
        </is>
      </c>
      <c r="C70" s="8" t="inlineStr">
        <is>
          <t>10464</t>
        </is>
      </c>
      <c r="D70" s="8" t="inlineStr">
        <is>
          <t>PATRICIA MORENO GONZÁLEZ</t>
        </is>
      </c>
      <c r="E70" s="21" t="n">
        <v>18943.96</v>
      </c>
      <c r="F70" s="21" t="n">
        <v>5539.16</v>
      </c>
      <c r="G70" s="21" t="n">
        <v>3783.03</v>
      </c>
      <c r="H70" s="21">
        <f>IF(COUNTA(E70:G70)=0,"",SUM(E70:G70))</f>
        <v/>
      </c>
      <c r="I70" s="21" t="n">
        <v>25758.95</v>
      </c>
      <c r="J70" s="21">
        <f>IF(OR(H70="",I70=""),"",I70-H70)</f>
        <v/>
      </c>
      <c r="K70" s="8" t="n">
        <v>14</v>
      </c>
      <c r="L70" s="8" t="inlineStr">
        <is>
          <t>Diferencia informativa: Registro usa retribuciones normalizadas + variables; nóminas usa Total Devengado real de los PDFs aportados.</t>
        </is>
      </c>
      <c r="M70" s="8" t="inlineStr">
        <is>
          <t>PDF_ABRIL.pdf p.61 (Del 1 al 30 Abril 2025); PDF_AGOSTO.pdf p.59 (Del 1 al 31 Agosto 2025); PDF_DICIEMBRE.pdf p.58 (Del 1 al 31 Diciembre 2025); PDF_ENERO.pdf p.61 (Del 1 al 31 Enero 2025); PDF_FEBRERO.pdf p.61 (Del 1 al 28 Febrero 2025); PDF_FEBRERO_VARIABLE.pdf p.34 (Del 1 al 28 Febrero 2025); PDF_JULIO.pdf p.60 (Del 1 al 31 Julio 2025); PDF_JUNIO.pdf p.59 (Del 1 al 30 Junio 2025); ... (+6 más)</t>
        </is>
      </c>
    </row>
    <row r="71" ht="62" customHeight="1">
      <c r="A71" s="23" t="inlineStr">
        <is>
          <t>Comparado</t>
        </is>
      </c>
      <c r="B71" s="8" t="inlineStr">
        <is>
          <t>00812710M</t>
        </is>
      </c>
      <c r="C71" s="8" t="inlineStr">
        <is>
          <t>10347</t>
        </is>
      </c>
      <c r="D71" s="8" t="inlineStr">
        <is>
          <t>RAFAEL RODRIGUEZ DE LOS RIOS RAMIREZ</t>
        </is>
      </c>
      <c r="E71" s="21" t="n">
        <v>20284.7</v>
      </c>
      <c r="F71" s="21" t="n">
        <v>10744.84</v>
      </c>
      <c r="G71" s="21" t="n">
        <v>4640.49</v>
      </c>
      <c r="H71" s="21">
        <f>IF(COUNTA(E71:G71)=0,"",SUM(E71:G71))</f>
        <v/>
      </c>
      <c r="I71" s="21" t="n">
        <v>30587.49</v>
      </c>
      <c r="J71" s="21">
        <f>IF(OR(H71="",I71=""),"",I71-H71)</f>
        <v/>
      </c>
      <c r="K71" s="8" t="n">
        <v>13</v>
      </c>
      <c r="L71" s="8" t="inlineStr">
        <is>
          <t>Diferencia informativa: Registro usa retribuciones normalizadas + variables; nóminas usa Total Devengado real de los PDFs aportados.</t>
        </is>
      </c>
      <c r="M71" s="8" t="inlineStr">
        <is>
          <t>PDF_ABRIL.pdf p.46 (Del 1 al 30 Abril 2025); PDF_AGOSTO.pdf p.44 (Del 1 al 31 Agosto 2025); PDF_DICIEMBRE.pdf p.43 (Del 1 al 31 Diciembre 2025); PDF_ENERO.pdf p.46 (Del 1 al 31 Enero 2025); PDF_FEBRERO.pdf p.46 (Del 1 al 28 Febrero 2025); PDF_JULIO.pdf p.45 (Del 1 al 31 Julio 2025); PDF_JUNIO.pdf p.44 (Del 1 al 30 Junio 2025); PDF_MARZO.pdf p.46 (Del 1 al 31 Marzo 2025); ... (+5 más)</t>
        </is>
      </c>
    </row>
    <row r="72" ht="62" customHeight="1">
      <c r="A72" s="23" t="inlineStr">
        <is>
          <t>Comparado</t>
        </is>
      </c>
      <c r="B72" s="8" t="inlineStr">
        <is>
          <t>28687740R</t>
        </is>
      </c>
      <c r="C72" s="8" t="inlineStr">
        <is>
          <t>10075</t>
        </is>
      </c>
      <c r="D72" s="8" t="inlineStr">
        <is>
          <t>RAMIRO PEDROTE MARTINEZ</t>
        </is>
      </c>
      <c r="E72" s="21" t="n">
        <v>25954.38</v>
      </c>
      <c r="F72" s="21" t="n">
        <v>64361</v>
      </c>
      <c r="G72" s="21" t="n">
        <v>13718.92</v>
      </c>
      <c r="H72" s="21">
        <f>IF(COUNTA(E72:G72)=0,"",SUM(E72:G72))</f>
        <v/>
      </c>
      <c r="I72" s="21" t="n">
        <v>97287.16</v>
      </c>
      <c r="J72" s="21">
        <f>IF(OR(H72="",I72=""),"",I72-H72)</f>
        <v/>
      </c>
      <c r="K72" s="8" t="n">
        <v>14</v>
      </c>
      <c r="L72" s="8" t="inlineStr">
        <is>
          <t>Diferencia informativa: Registro usa retribuciones normalizadas + variables; nóminas usa Total Devengado real de los PDFs aportados.</t>
        </is>
      </c>
      <c r="M72" s="8" t="inlineStr">
        <is>
          <t>PDF_ABRIL.pdf p.5 (Del 1 al 30 Abril 2025); PDF_AGOSTO.pdf p.4 (Del 1 al 31 Agosto 2025); PDF_DICIEMBRE.pdf p.4 (Del 1 al 31 Diciembre 2025); PDF_ENERO.pdf p.5 (Del 1 al 31 Enero 2025); PDF_FEBRERO.pdf p.5 (Del 1 al 28 Febrero 2025); PDF_JULIO.pdf p.4 (Del 1 al 31 Julio 2025); PDF_JUNIO.pdf p.4 (Del 1 al 30 Junio 2025); PDF_MARZO.pdf p.5 (Del 1 al 31 Marzo 2025); ... (+6 más)</t>
        </is>
      </c>
    </row>
    <row r="73" ht="62" customHeight="1">
      <c r="A73" s="23" t="inlineStr">
        <is>
          <t>Comparado</t>
        </is>
      </c>
      <c r="B73" s="8" t="inlineStr">
        <is>
          <t>46750546X</t>
        </is>
      </c>
      <c r="C73" s="8" t="inlineStr">
        <is>
          <t>10319</t>
        </is>
      </c>
      <c r="D73" s="8" t="inlineStr">
        <is>
          <t>REBECA CANO JARHAMN</t>
        </is>
      </c>
      <c r="E73" s="21" t="n">
        <v>21890.34</v>
      </c>
      <c r="F73" s="21" t="n">
        <v>23828.24</v>
      </c>
      <c r="G73" s="21" t="n">
        <v>5236.8</v>
      </c>
      <c r="H73" s="21">
        <f>IF(COUNTA(E73:G73)=0,"",SUM(E73:G73))</f>
        <v/>
      </c>
      <c r="I73" s="21" t="n">
        <v>45929.68</v>
      </c>
      <c r="J73" s="21">
        <f>IF(OR(H73="",I73=""),"",I73-H73)</f>
        <v/>
      </c>
      <c r="K73" s="8" t="n">
        <v>13</v>
      </c>
      <c r="L73" s="8" t="inlineStr">
        <is>
          <t>Diferencia informativa: Registro usa retribuciones normalizadas + variables; nóminas usa Total Devengado real de los PDFs aportados.</t>
        </is>
      </c>
      <c r="M73" s="8" t="inlineStr">
        <is>
          <t>PDF_ABRIL.pdf p.38 (Del 1 al 30 Abril 2025); PDF_AGOSTO.pdf p.37 (Del 1 al 31 Agosto 2025); PDF_DICIEMBRE.pdf p.36 (Del 1 al 31 Diciembre 2025); PDF_ENERO.pdf p.38 (Del 1 al 31 Enero 2025); PDF_FEBRERO.pdf p.38 (Del 1 al 28 Febrero 2025); PDF_JULIO.pdf p.37 (Del 1 al 31 Julio 2025); PDF_JUNIO.pdf p.37 (Del 1 al 30 Junio 2025); PDF_MARZO.pdf p.38 (Del 1 al 31 Marzo 2025); ... (+5 más)</t>
        </is>
      </c>
    </row>
    <row r="74" ht="62" customHeight="1">
      <c r="A74" s="23" t="inlineStr">
        <is>
          <t>Comparado</t>
        </is>
      </c>
      <c r="B74" s="8" t="inlineStr">
        <is>
          <t>07252890R</t>
        </is>
      </c>
      <c r="C74" s="8" t="inlineStr">
        <is>
          <t>10458</t>
        </is>
      </c>
      <c r="D74" s="8" t="inlineStr">
        <is>
          <t>ROCIO GIMENEZ CARAZO</t>
        </is>
      </c>
      <c r="E74" s="21" t="n">
        <v>20332.4</v>
      </c>
      <c r="F74" s="21" t="n">
        <v>18888.64</v>
      </c>
      <c r="G74" s="21" t="n">
        <v>4691.15</v>
      </c>
      <c r="H74" s="21">
        <f>IF(COUNTA(E74:G74)=0,"",SUM(E74:G74))</f>
        <v/>
      </c>
      <c r="I74" s="21" t="n">
        <v>40702.53</v>
      </c>
      <c r="J74" s="21">
        <f>IF(OR(H74="",I74=""),"",I74-H74)</f>
        <v/>
      </c>
      <c r="K74" s="8" t="n">
        <v>14</v>
      </c>
      <c r="L74" s="8" t="inlineStr">
        <is>
          <t>Diferencia informativa: Registro usa retribuciones normalizadas + variables; nóminas usa Total Devengado real de los PDFs aportados.</t>
        </is>
      </c>
      <c r="M74" s="8" t="inlineStr">
        <is>
          <t>PDF_ABRIL.pdf p.59 (Del 1 al 30 Abril 2025); PDF_AGOSTO.pdf p.57 (Del 1 al 31 Agosto 2025); PDF_DICIEMBRE.pdf p.56 (Del 1 al 31 Diciembre 2025); PDF_ENERO.pdf p.59 (Del 1 al 31 Enero 2025); PDF_FEBRERO.pdf p.59 (Del 1 al 28 Febrero 2025); PDF_FEBRERO_VARIABLE.pdf p.33 (Del 1 al 28 Febrero 2025); PDF_JULIO.pdf p.58 (Del 1 al 31 Julio 2025); PDF_JUNIO.pdf p.57 (Del 1 al 30 Junio 2025); ... (+6 más)</t>
        </is>
      </c>
    </row>
    <row r="75" ht="62" customHeight="1">
      <c r="A75" s="23" t="inlineStr">
        <is>
          <t>Comparado</t>
        </is>
      </c>
      <c r="B75" s="8" t="inlineStr">
        <is>
          <t>18956404B</t>
        </is>
      </c>
      <c r="C75" s="8" t="inlineStr">
        <is>
          <t>10353</t>
        </is>
      </c>
      <c r="D75" s="8" t="inlineStr">
        <is>
          <t>SONIA MARIA TORRENTI GONZALEZ</t>
        </is>
      </c>
      <c r="E75" s="21" t="n">
        <v>19630.94</v>
      </c>
      <c r="F75" s="21" t="n">
        <v>35773.2</v>
      </c>
      <c r="G75" s="21" t="n">
        <v>4183.66</v>
      </c>
      <c r="H75" s="21">
        <f>IF(COUNTA(E75:G75)=0,"",SUM(E75:G75))</f>
        <v/>
      </c>
      <c r="I75" s="21" t="n">
        <v>53130.87</v>
      </c>
      <c r="J75" s="21">
        <f>IF(OR(H75="",I75=""),"",I75-H75)</f>
        <v/>
      </c>
      <c r="K75" s="8" t="n">
        <v>15</v>
      </c>
      <c r="L75" s="8" t="inlineStr">
        <is>
          <t>Diferencia informativa: Registro usa retribuciones normalizadas + variables; nóminas usa Total Devengado real de los PDFs aportados.</t>
        </is>
      </c>
      <c r="M75" s="8" t="inlineStr">
        <is>
          <t>PDF_ABRIL.pdf p.49 (Del 1 al 30 Abril 2025); PDF_AGOSTO.pdf p.47 (Del 1 al 31 Agosto 2025); PDF_DICIEMBRE.pdf p.46 (Del 1 al 31 Diciembre 2025); PDF_ENERO.pdf p.49 (Del 1 al 31 Enero 2025); PDF_FEBRERO.pdf p.49 (Del 1 al 28 Febrero 2025); PDF_JULIO.pdf p.48 (Del 1 al 31 Julio 2025); PDF_JULIO_23_06.pdf p.2 (Del 1 al 31 Julio 2025); PDF_JULIO_24_06.pdf p.2 (Del 1 al 31 Julio 2025); ... (+7 más)</t>
        </is>
      </c>
    </row>
    <row r="76" ht="62" customHeight="1">
      <c r="A76" s="23" t="inlineStr">
        <is>
          <t>Comparado</t>
        </is>
      </c>
      <c r="B76" s="8" t="inlineStr">
        <is>
          <t>50455100T</t>
        </is>
      </c>
      <c r="C76" s="8" t="inlineStr">
        <is>
          <t>10283</t>
        </is>
      </c>
      <c r="D76" s="8" t="inlineStr">
        <is>
          <t>SONIA PLAZA DE LAS HERAS</t>
        </is>
      </c>
      <c r="E76" s="21" t="n">
        <v>20678.56</v>
      </c>
      <c r="F76" s="21" t="n">
        <v>9133.4</v>
      </c>
      <c r="G76" s="21" t="n">
        <v>4210.85</v>
      </c>
      <c r="H76" s="21">
        <f>IF(COUNTA(E76:G76)=0,"",SUM(E76:G76))</f>
        <v/>
      </c>
      <c r="I76" s="21" t="n">
        <v>29843.38</v>
      </c>
      <c r="J76" s="21">
        <f>IF(OR(H76="",I76=""),"",I76-H76)</f>
        <v/>
      </c>
      <c r="K76" s="8" t="n">
        <v>13</v>
      </c>
      <c r="L76" s="8" t="inlineStr">
        <is>
          <t>Diferencia informativa: Registro usa retribuciones normalizadas + variables; nóminas usa Total Devengado real de los PDFs aportados.</t>
        </is>
      </c>
      <c r="M76" s="8" t="inlineStr">
        <is>
          <t>PDF_ABRIL.pdf p.28 (Del 1 al 30 Abril 2025); PDF_AGOSTO.pdf p.27 (Del 1 al 31 Agosto 2025); PDF_DICIEMBRE.pdf p.26 (Del 1 al 31 Diciembre 2025); PDF_ENERO.pdf p.28 (Del 1 al 31 Enero 2025); PDF_FEBRERO.pdf p.28 (Del 1 al 28 Febrero 2025); PDF_FEBRERO_VARIABLE.pdf p.17 (Del 1 al 28 Febrero 2025); PDF_JULIO.pdf p.27 (Del 1 al 31 Julio 2025); PDF_JUNIO.pdf p.27 (Del 1 al 30 Junio 2025); ... (+5 más)</t>
        </is>
      </c>
    </row>
    <row r="77" ht="62" customHeight="1">
      <c r="A77" s="23" t="inlineStr">
        <is>
          <t>Comparado</t>
        </is>
      </c>
      <c r="B77" s="8" t="inlineStr">
        <is>
          <t>02258520N</t>
        </is>
      </c>
      <c r="C77" s="8" t="inlineStr">
        <is>
          <t>10490</t>
        </is>
      </c>
      <c r="D77" s="8" t="inlineStr">
        <is>
          <t>TATIANA MARTIN MARTIN</t>
        </is>
      </c>
      <c r="E77" s="21" t="n">
        <v>18943.96</v>
      </c>
      <c r="F77" s="21" t="n">
        <v>4156</v>
      </c>
      <c r="G77" s="21" t="n">
        <v>1743.46</v>
      </c>
      <c r="H77" s="21">
        <f>IF(COUNTA(E77:G77)=0,"",SUM(E77:G77))</f>
        <v/>
      </c>
      <c r="I77" s="21" t="n">
        <v>166.7</v>
      </c>
      <c r="J77" s="21">
        <f>IF(OR(H77="",I77=""),"",I77-H77)</f>
        <v/>
      </c>
      <c r="K77" s="8" t="n">
        <v>1</v>
      </c>
      <c r="L77" s="8" t="inlineStr">
        <is>
          <t>Diferencia informativa: Registro usa retribuciones normalizadas + variables; nóminas usa Total Devengado real de los PDFs aportados.</t>
        </is>
      </c>
      <c r="M77" s="8" t="inlineStr">
        <is>
          <t>PDF_DICIEMBRE.pdf p.73 (Del 1 al 31 Diciembre 2025)</t>
        </is>
      </c>
    </row>
    <row r="78" ht="62" customHeight="1">
      <c r="A78" s="23" t="inlineStr">
        <is>
          <t>Comparado</t>
        </is>
      </c>
      <c r="B78" s="8" t="inlineStr">
        <is>
          <t>51924080Q</t>
        </is>
      </c>
      <c r="C78" s="8" t="inlineStr">
        <is>
          <t>10485</t>
        </is>
      </c>
      <c r="D78" s="8" t="inlineStr">
        <is>
          <t>YOLANDA CAMACHO CANDIA</t>
        </is>
      </c>
      <c r="E78" s="21" t="n">
        <v>18943.96</v>
      </c>
      <c r="F78" s="21" t="n">
        <v>10306.04</v>
      </c>
      <c r="G78" s="21" t="n">
        <v>2763.35</v>
      </c>
      <c r="H78" s="21">
        <f>IF(COUNTA(E78:G78)=0,"",SUM(E78:G78))</f>
        <v/>
      </c>
      <c r="I78" s="21" t="n">
        <v>3438.23</v>
      </c>
      <c r="J78" s="21">
        <f>IF(OR(H78="",I78=""),"",I78-H78)</f>
        <v/>
      </c>
      <c r="K78" s="8" t="n">
        <v>2</v>
      </c>
      <c r="L78" s="8" t="inlineStr">
        <is>
          <t>Diferencia informativa: Registro usa retribuciones normalizadas + variables; nóminas usa Total Devengado real de los PDFs aportados.</t>
        </is>
      </c>
      <c r="M78" s="8" t="inlineStr">
        <is>
          <t>PDF_DICIEMBRE.pdf p.69 (Del 1 al 31 Diciembre 2025); PDF_NOVIEMBRE.pdf p.69 (Del 1 al 30 Noviembre 2025)</t>
        </is>
      </c>
    </row>
    <row r="79" ht="62" customHeight="1">
      <c r="A79" s="23" t="inlineStr">
        <is>
          <t>Comparado</t>
        </is>
      </c>
      <c r="B79" s="8" t="inlineStr">
        <is>
          <t>00695991B</t>
        </is>
      </c>
      <c r="C79" s="8" t="inlineStr">
        <is>
          <t>10324</t>
        </is>
      </c>
      <c r="D79" s="8" t="inlineStr">
        <is>
          <t>YOLANDA HIGUERA FERNANDEZ</t>
        </is>
      </c>
      <c r="E79" s="21" t="n">
        <v>20481.7</v>
      </c>
      <c r="F79" s="21" t="n">
        <v>13100</v>
      </c>
      <c r="G79" s="21" t="n">
        <v>4142.3</v>
      </c>
      <c r="H79" s="21">
        <f>IF(COUNTA(E79:G79)=0,"",SUM(E79:G79))</f>
        <v/>
      </c>
      <c r="I79" s="21" t="n">
        <v>33385.67</v>
      </c>
      <c r="J79" s="21">
        <f>IF(OR(H79="",I79=""),"",I79-H79)</f>
        <v/>
      </c>
      <c r="K79" s="8" t="n">
        <v>13</v>
      </c>
      <c r="L79" s="8" t="inlineStr">
        <is>
          <t>Diferencia informativa: Registro usa retribuciones normalizadas + variables; nóminas usa Total Devengado real de los PDFs aportados.</t>
        </is>
      </c>
      <c r="M79" s="8" t="inlineStr">
        <is>
          <t>PDF_ABRIL.pdf p.39 (Del 1 al 30 Abril 2025); PDF_AGOSTO.pdf p.38 (Del 1 al 31 Agosto 2025); PDF_DICIEMBRE.pdf p.37 (Del 1 al 31 Diciembre 2025); PDF_ENERO.pdf p.39 (Del 1 al 31 Enero 2025); PDF_FEBRERO.pdf p.39 (Del 1 al 28 Febrero 2025); PDF_FEBRERO_VARIABLE.pdf p.24 (Del 1 al 28 Febrero 2025); PDF_JULIO.pdf p.38 (Del 1 al 31 Julio 2025); PDF_JUNIO.pdf p.38 (Del 1 al 30 Junio 2025); ... (+5 más)</t>
        </is>
      </c>
    </row>
    <row r="80" ht="62" customHeight="1">
      <c r="A80" s="23" t="inlineStr">
        <is>
          <t>Comparado</t>
        </is>
      </c>
      <c r="B80" s="8" t="inlineStr">
        <is>
          <t>53102577Q</t>
        </is>
      </c>
      <c r="C80" s="8" t="inlineStr">
        <is>
          <t>10374</t>
        </is>
      </c>
      <c r="D80" s="8" t="inlineStr">
        <is>
          <t>ÁNGEL JULIAN CARPIO CHACÓN</t>
        </is>
      </c>
      <c r="E80" s="21" t="n">
        <v>20332.4</v>
      </c>
      <c r="F80" s="21" t="n">
        <v>16856.56</v>
      </c>
      <c r="G80" s="21" t="n">
        <v>4501.33</v>
      </c>
      <c r="H80" s="21">
        <f>IF(COUNTA(E80:G80)=0,"",SUM(E80:G80))</f>
        <v/>
      </c>
      <c r="I80" s="21" t="n">
        <v>38932.95</v>
      </c>
      <c r="J80" s="21">
        <f>IF(OR(H80="",I80=""),"",I80-H80)</f>
        <v/>
      </c>
      <c r="K80" s="8" t="n">
        <v>14</v>
      </c>
      <c r="L80" s="8" t="inlineStr">
        <is>
          <t>Diferencia informativa: Registro usa retribuciones normalizadas + variables; nóminas usa Total Devengado real de los PDFs aportados.</t>
        </is>
      </c>
      <c r="M80" s="8" t="inlineStr">
        <is>
          <t>PDF_ABRIL.pdf p.56 (Del 1 al 30 Abril 2025); PDF_AGOSTO.pdf p.54 (Del 1 al 31 Agosto 2025); PDF_DICIEMBRE.pdf p.53 (Del 1 al 31 Diciembre 2025); PDF_ENERO.pdf p.56 (Del 1 al 31 Enero 2025); PDF_FEBRERO.pdf p.56 (Del 1 al 28 Febrero 2025); PDF_FEBRERO_VARIABLE.pdf p.32 (Del 1 al 28 Febrero 2025); PDF_JULIO.pdf p.55 (Del 1 al 31 Julio 2025); PDF_JUNIO.pdf p.54 (Del 1 al 30 Junio 2025); ... (+6 más)</t>
        </is>
      </c>
    </row>
  </sheetData>
  <conditionalFormatting sqref="J2:J80">
    <cfRule type="cellIs" priority="1" operator="lessThan" dxfId="0">
      <formula>0</formula>
    </cfRule>
    <cfRule type="cellIs" priority="2" operator="greaterThan" dxfId="1">
      <formula>0</formula>
    </cfRule>
  </conditionalFormatting>
  <pageMargins left="0.25" right="0.25" top="0.5" bottom="0.5" header="0.5" footer="0.5"/>
  <pageSetup fitToHeight="0" fitToWidth="1"/>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G10"/>
  <sheetViews>
    <sheetView showGridLines="0" workbookViewId="0">
      <selection activeCell="A1" sqref="A1"/>
    </sheetView>
  </sheetViews>
  <sheetFormatPr baseColWidth="8" defaultRowHeight="15"/>
  <cols>
    <col width="28" customWidth="1" min="1" max="1"/>
    <col width="110" customWidth="1" min="2" max="2"/>
  </cols>
  <sheetData>
    <row r="1" ht="34" customHeight="1">
      <c r="A1" s="1" t="inlineStr">
        <is>
          <t>Criterios aplicados</t>
        </is>
      </c>
    </row>
    <row r="3" ht="34" customHeight="1">
      <c r="A3" s="4" t="inlineStr">
        <is>
          <t>Tema</t>
        </is>
      </c>
      <c r="B3" s="4" t="inlineStr">
        <is>
          <t>Detalle</t>
        </is>
      </c>
      <c r="C3" s="4" t="n"/>
      <c r="D3" s="4" t="n"/>
      <c r="E3" s="4" t="n"/>
      <c r="F3" s="4" t="n"/>
      <c r="G3" s="4" t="n"/>
    </row>
    <row r="4" ht="42" customHeight="1">
      <c r="A4" s="24" t="inlineStr">
        <is>
          <t>Comparación salarial</t>
        </is>
      </c>
      <c r="B4" s="8" t="inlineStr">
        <is>
          <t>Debería estar = suma de columnas Salario + C. Salarial + Extrasalarial de “TOTAL RETRIBUCIONES NORMALIZADAS + VARIABLES” en la hoja Empleados del Registro.</t>
        </is>
      </c>
    </row>
    <row r="5" ht="42" customHeight="1">
      <c r="A5" s="24" t="inlineStr">
        <is>
          <t>Como está</t>
        </is>
      </c>
      <c r="B5" s="8" t="inlineStr">
        <is>
          <t>Suma del campo TOTAL DEVENGADO de todos los PDF de nómina aportados para cada matrícula/persona.</t>
        </is>
      </c>
    </row>
    <row r="6" ht="42" customHeight="1">
      <c r="A6" s="24" t="inlineStr">
        <is>
          <t>Diferencia</t>
        </is>
      </c>
      <c r="B6" s="8" t="inlineStr">
        <is>
          <t>Fórmula en Excel: Total está en nóminas - Total debería en Registro. Si sale negativo, los PDF suman menos que el Registro.</t>
        </is>
      </c>
    </row>
    <row r="7" ht="42" customHeight="1">
      <c r="A7" s="24" t="inlineStr">
        <is>
          <t>Normalización</t>
        </is>
      </c>
      <c r="B7" s="8" t="inlineStr">
        <is>
          <t>El Registro trabaja con retribuciones normalizadas + variables, mientras que la nómina es devengo real del periodo. La diferencia es informativa y debe interpretarse con esa salvedad.</t>
        </is>
      </c>
    </row>
    <row r="8" ht="42" customHeight="1">
      <c r="A8" s="24" t="inlineStr">
        <is>
          <t>Personas sin Registro</t>
        </is>
      </c>
      <c r="B8" s="8" t="inlineStr">
        <is>
          <t>Si una persona aparece en nómina pero no en la hoja Empleados del Registro, queda como “Falta en Registro” y no se calcula diferencia hasta validar si entra en alcance.</t>
        </is>
      </c>
    </row>
    <row r="9" ht="42" customHeight="1">
      <c r="A9" s="24" t="inlineStr">
        <is>
          <t>Campos comparados</t>
        </is>
      </c>
      <c r="B9" s="8" t="inlineStr">
        <is>
          <t>Matrícula/ID RH, categoría, GT, centro y antigüedad. La hoja Campos_mal solo muestra personas/campos con incidencia.</t>
        </is>
      </c>
    </row>
    <row r="10" ht="42" customHeight="1">
      <c r="A10" s="24" t="inlineStr">
        <is>
          <t>Información eliminada</t>
        </is>
      </c>
      <c r="B10" s="8" t="inlineStr">
        <is>
          <t>No se incluyen IBAN, bancos, detalle de deducciones ni todos los conceptos de nómina para mantener el Excel limpio.</t>
        </is>
      </c>
    </row>
  </sheetData>
  <mergeCells count="1">
    <mergeCell ref="A1:G1"/>
  </mergeCells>
  <pageMargins left="0.25" right="0.25" top="0.5" bottom="0.5" header="0.5" footer="0.5"/>
  <pageSetup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2026-07-02T09:10:50Z</dcterms:created>
  <dcterms:modified xmlns:dcterms="http://purl.org/dc/terms/" xmlns:xsi="http://www.w3.org/2001/XMLSchema-instance" xsi:type="dcterms:W3CDTF">2026-07-02T09:10:50Z</dcterms:modified>
</cp:coreProperties>
</file>